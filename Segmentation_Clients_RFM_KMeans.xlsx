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5" documentId="11_4C0B61DD0195044678D3F98963117A7B72C4F4B1" xr6:coauthVersionLast="47" xr6:coauthVersionMax="47" xr10:uidLastSave="{3C5B56E5-01C8-409E-AAFF-CB7A3A488ADA}"/>
  <bookViews>
    <workbookView xWindow="0" yWindow="0" windowWidth="16384" windowHeight="8192" tabRatio="500" xr2:uid="{00000000-000D-0000-FFFF-FFFF00000000}"/>
  </bookViews>
  <sheets>
    <sheet name="README" sheetId="1" r:id="rId1"/>
    <sheet name="RFM_Clients" sheetId="2" r:id="rId2"/>
    <sheet name="Profil_Segments" sheetId="3" r:id="rId3"/>
    <sheet name="Canal_SousCanal" sheetId="4" r:id="rId4"/>
    <sheet name="Classe_Produit" sheetId="5" r:id="rId5"/>
    <sheet name="Graphiques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3" l="1"/>
  <c r="H4" i="3"/>
  <c r="H3" i="3"/>
  <c r="H2" i="3"/>
</calcChain>
</file>

<file path=xl/sharedStrings.xml><?xml version="1.0" encoding="utf-8"?>
<sst xmlns="http://schemas.openxmlformats.org/spreadsheetml/2006/main" count="5333" uniqueCount="1555">
  <si>
    <t>Module 1 - Segmentation clients (RFM + K-Means)</t>
  </si>
  <si>
    <t>Objectif : regrouper les clients en segments comportementaux distincts a partir de la Recence, Frequence et Valeur monetaire (RFM), puis profiler chaque segment par canal, sous-canal et classe de produit preferee.</t>
  </si>
  <si>
    <t>Perimetre : 751 clients uniques (identifies par Customer Name, unique par ville/pays), 254 082 lignes de vente, periode Jan 2017 - Dec 2020.</t>
  </si>
  <si>
    <t>POINT D'ATTENTION METHODOLOGIQUE :</t>
  </si>
  <si>
    <t>Le jeu de donnees couvre l'Allemagne sur 48 mois continus (Jan 2017-Dec 2020) mais la Pologne sur seulement 12 mois (annee 2018 uniquement). Resultat : la Recence et l'anciennete sont totalement determinees par le pays (aucune variance intra-pays), et non par un vrai comportement de churn client. Les clusters 'Dormants' correspondent donc aux clients polonais (dont l'historique s'arrete fin 2018 dans ce jeu de donnees), pas a un abandon reel documente.</t>
  </si>
  <si>
    <t>Pour rendre les comparaisons de valeur equitables malgre cette difference de fenetre d'observation (48 vs 12 mois), un indicateur de taux mensuel moyen (Monetary / mois actifs) a ete ajoute : il montre que les clients polonais 'Dormants a Haut Potentiel' generaient un rythme mensuel proche des clients allemands actifs du coeur de portefeuille -- un signal fort pour prioriser leur reactivation si des donnees plus recentes deviennent disponibles.</t>
  </si>
  <si>
    <t>Methode : K-Means (k=4, choisi via silhouette score) sur Recency + log(Frequency) + log(Monetary), standardises. Silhouette = 0.43.</t>
  </si>
  <si>
    <t>Segments obtenus :</t>
  </si>
  <si>
    <t>1. Comptes Strategiques (Key Accounts) - 211 clients (28%) - 48% du revenu total - Allemagne, actifs, valeur/mois la plus elevee</t>
  </si>
  <si>
    <t>2. Coeur de Portefeuille (Core Active) - 340 clients (45%) - 46% du revenu total - Allemagne, actifs</t>
  </si>
  <si>
    <t>3. Dormants a Haut Potentiel (Win-back prioritaire) - 86 clients (11%) - 3% du revenu total (periode tronquee) mais rythme mensuel comparable au Coeur de Portefeuille</t>
  </si>
  <si>
    <t>4. Dormants a Faible Valeur - 114 clients (15%) - 3% du revenu total - rythme mensuel le plus faible</t>
  </si>
  <si>
    <t>Onglets : RFM_Clients (donnees clients), Profil_Segments (statistiques), Canal_SousCanal, Classe_Produit, Graphiques.</t>
  </si>
  <si>
    <t>Customer Name</t>
  </si>
  <si>
    <t>Country</t>
  </si>
  <si>
    <t>City</t>
  </si>
  <si>
    <t>Channel</t>
  </si>
  <si>
    <t>SubChannel</t>
  </si>
  <si>
    <t>Segment</t>
  </si>
  <si>
    <t>Recency</t>
  </si>
  <si>
    <t>Frequency</t>
  </si>
  <si>
    <t>Monetary</t>
  </si>
  <si>
    <t>ActiveMonths</t>
  </si>
  <si>
    <t>MonthlyOrderRate</t>
  </si>
  <si>
    <t>MonthlyRevenueRate</t>
  </si>
  <si>
    <t>AvgOrderValue</t>
  </si>
  <si>
    <t>PreferredProductClass</t>
  </si>
  <si>
    <t>PreferredClassShare</t>
  </si>
  <si>
    <t>ProductConcentrationHHI</t>
  </si>
  <si>
    <t xml:space="preserve">Rodriguez, Stokes and Dickens </t>
  </si>
  <si>
    <t>Germany</t>
  </si>
  <si>
    <t>Ostfildern</t>
  </si>
  <si>
    <t>Hospital</t>
  </si>
  <si>
    <t>Government</t>
  </si>
  <si>
    <t>Coeur de Portefeuille (Core Active)</t>
  </si>
  <si>
    <t>Mood Stabilizers</t>
  </si>
  <si>
    <t xml:space="preserve">Hill-Daniel </t>
  </si>
  <si>
    <t>Derne</t>
  </si>
  <si>
    <t>Antimalarial</t>
  </si>
  <si>
    <t>Mraz Group Pharmaceutical Limited</t>
  </si>
  <si>
    <t>Schweinfurt</t>
  </si>
  <si>
    <t>Pharmacy</t>
  </si>
  <si>
    <t>Retail</t>
  </si>
  <si>
    <t>Towne, Cummerata and Blanda Pharmaceutical Ltd</t>
  </si>
  <si>
    <t>Darmstadt</t>
  </si>
  <si>
    <t>Cummings LLC Pharmaceutical Ltd</t>
  </si>
  <si>
    <t>Sundern</t>
  </si>
  <si>
    <t>Antibiotics</t>
  </si>
  <si>
    <t>Corkery, Trantow and Ferry Pharma Plc</t>
  </si>
  <si>
    <t>Geesthacht</t>
  </si>
  <si>
    <t>Institution</t>
  </si>
  <si>
    <t>Analgesics</t>
  </si>
  <si>
    <t>Beer, Kohler and Beatty Pharmacy</t>
  </si>
  <si>
    <t>Obertshausen</t>
  </si>
  <si>
    <t>Antiseptics</t>
  </si>
  <si>
    <t>Steuber, Skiles and Kilback Pharmaceutical Limited</t>
  </si>
  <si>
    <t>Bonn</t>
  </si>
  <si>
    <t>Fritsch-Hauck Pharmaceutical Ltd</t>
  </si>
  <si>
    <t>Fürth</t>
  </si>
  <si>
    <t xml:space="preserve">Kertzmann, Quitzon and Harris </t>
  </si>
  <si>
    <t>Greven</t>
  </si>
  <si>
    <t>Leuschke, Waters and Schowalter Pharma Plc</t>
  </si>
  <si>
    <t>Herzogenrath</t>
  </si>
  <si>
    <t>Emard-O'Connell Pharm</t>
  </si>
  <si>
    <t>Rosenheim</t>
  </si>
  <si>
    <t>Rohan Inc Pharm</t>
  </si>
  <si>
    <t>Weilheim</t>
  </si>
  <si>
    <t>Private</t>
  </si>
  <si>
    <t>Antipiretics</t>
  </si>
  <si>
    <t>Lebsack, Yost and Heller Pharma Plc</t>
  </si>
  <si>
    <t>Ibbenbüren</t>
  </si>
  <si>
    <t>Sanford, Franecki and Greenholt Pharma Plc</t>
  </si>
  <si>
    <t>Waltrop</t>
  </si>
  <si>
    <t>Durgan-Rice Pharmaceutical Ltd</t>
  </si>
  <si>
    <t>Leichlingen</t>
  </si>
  <si>
    <t>Rutherford and Sons Pharmaceutical Ltd</t>
  </si>
  <si>
    <t>Dresden</t>
  </si>
  <si>
    <t>Reinger, Kihn and Goyette Pharma Plc</t>
  </si>
  <si>
    <t>Euskirchen</t>
  </si>
  <si>
    <t>Ondricka-Waters Pharmaceutical Ltd</t>
  </si>
  <si>
    <t>Bad Oeynhausen</t>
  </si>
  <si>
    <t>Barton Ltd Pharmaceutical Limited</t>
  </si>
  <si>
    <t>Celle</t>
  </si>
  <si>
    <t>Wintheiser, Breitenberg and Gottlieb Pharma Plc</t>
  </si>
  <si>
    <t>Warstein</t>
  </si>
  <si>
    <t>Kub, Von and Herzog Pharmaceutical Limited</t>
  </si>
  <si>
    <t>Freudenstadt</t>
  </si>
  <si>
    <t>Schmitt, Berge and Haley Pharmaceutical Ltd</t>
  </si>
  <si>
    <t>Coburg</t>
  </si>
  <si>
    <t>Cormier, Dietrich and Zulauf Pharmaceutical Limited</t>
  </si>
  <si>
    <t>Esslingen</t>
  </si>
  <si>
    <t>Hirthe, Williamson and Macejkovic Pharmacy</t>
  </si>
  <si>
    <t>Landshut</t>
  </si>
  <si>
    <t>Jast-Cruickshank Pharmaceutical Ltd</t>
  </si>
  <si>
    <t>Düsseldorf</t>
  </si>
  <si>
    <t>Block, Thiel and Kuphal Pharm</t>
  </si>
  <si>
    <t>Taunusstein</t>
  </si>
  <si>
    <t>Raynor-Graham Pharma Plc</t>
  </si>
  <si>
    <t>Saarbrücken</t>
  </si>
  <si>
    <t>Spencer-Jerde Pharmaceutical Limited</t>
  </si>
  <si>
    <t>Kaufbeuren</t>
  </si>
  <si>
    <t>Pfeffer-Kirlin Pharmaceutical Limited</t>
  </si>
  <si>
    <t>Selm</t>
  </si>
  <si>
    <t>Breitenberg-Kuhn Pharma Plc</t>
  </si>
  <si>
    <t>Cloppenburg</t>
  </si>
  <si>
    <t xml:space="preserve">Medhurst-Beer </t>
  </si>
  <si>
    <t>Aachen</t>
  </si>
  <si>
    <t>Stanton-Cole Pharmacy</t>
  </si>
  <si>
    <t>Düren</t>
  </si>
  <si>
    <t>Prohaska, Bogisich and Gutkowski Pharm</t>
  </si>
  <si>
    <t>Bad Oldesloe</t>
  </si>
  <si>
    <t>Fahey-Prosacco Pharmacy</t>
  </si>
  <si>
    <t>Jena</t>
  </si>
  <si>
    <t>Jacobs-Jones Pharma Plc</t>
  </si>
  <si>
    <t>Schwedt (Oder)</t>
  </si>
  <si>
    <t>Barrows Inc Pharmaceutical Limited</t>
  </si>
  <si>
    <t>Speyer</t>
  </si>
  <si>
    <t>Nolan, DuBuque and Schultz Pharmacy</t>
  </si>
  <si>
    <t>Wernigerode</t>
  </si>
  <si>
    <t>Abernathy and Sons Pharmaceutical Limited</t>
  </si>
  <si>
    <t>Dietzenbach</t>
  </si>
  <si>
    <t xml:space="preserve">Gibson-Hill </t>
  </si>
  <si>
    <t>Troisdorf</t>
  </si>
  <si>
    <t>Buckridge Inc Pharm</t>
  </si>
  <si>
    <t>Brühl</t>
  </si>
  <si>
    <t xml:space="preserve">Marquardt PLC </t>
  </si>
  <si>
    <t>Wetter (Ruhr)</t>
  </si>
  <si>
    <t>Koelpin, Luettgen and Abernathy Pharmacy</t>
  </si>
  <si>
    <t>Wuppertal</t>
  </si>
  <si>
    <t>Mann-Waelchi Pharmacy</t>
  </si>
  <si>
    <t>Achim</t>
  </si>
  <si>
    <t>Hermiston LLC Pharmaceutical Limited</t>
  </si>
  <si>
    <t>Gevelsberg</t>
  </si>
  <si>
    <t>Koch-Osinski Pharmacy</t>
  </si>
  <si>
    <t>Hamminkeln</t>
  </si>
  <si>
    <t>Koss Ltd Pharma Plc</t>
  </si>
  <si>
    <t>Dingolfing</t>
  </si>
  <si>
    <t>Paucek, Keeling and Bruen Pharma Plc</t>
  </si>
  <si>
    <t>Sankt Wendel</t>
  </si>
  <si>
    <t>Bashirian Group Pharmacy</t>
  </si>
  <si>
    <t>Georgsmarienhütte</t>
  </si>
  <si>
    <t xml:space="preserve">Erdman PLC </t>
  </si>
  <si>
    <t>Holzminden</t>
  </si>
  <si>
    <t xml:space="preserve">Dach PLC </t>
  </si>
  <si>
    <t>Deggendorf</t>
  </si>
  <si>
    <t>Balistreri-Watsica Pharma Plc</t>
  </si>
  <si>
    <t>Siegen</t>
  </si>
  <si>
    <t xml:space="preserve">Schuppe Inc </t>
  </si>
  <si>
    <t>Bensheim</t>
  </si>
  <si>
    <t>Mante-Grady Pharma Plc</t>
  </si>
  <si>
    <t>Sonthofen</t>
  </si>
  <si>
    <t>Feest PLC Pharmaceutical Ltd</t>
  </si>
  <si>
    <t>Neustadt</t>
  </si>
  <si>
    <t>Terry-Kub Pharmaceutical Ltd</t>
  </si>
  <si>
    <t>Wegberg</t>
  </si>
  <si>
    <t>Schimmel-Waelchi Pharmaceutical Limited</t>
  </si>
  <si>
    <t>Olching</t>
  </si>
  <si>
    <t>Grimes, Jacobs and Durgan Pharma Plc</t>
  </si>
  <si>
    <t>Gütersloh</t>
  </si>
  <si>
    <t xml:space="preserve">Buckridge, Dach and Carroll </t>
  </si>
  <si>
    <t>Friedrichshafen</t>
  </si>
  <si>
    <t>Waelchi LLC Pharmaceutical Limited</t>
  </si>
  <si>
    <t>Essen</t>
  </si>
  <si>
    <t xml:space="preserve">Turner Ltd </t>
  </si>
  <si>
    <t>Porta Westfalica</t>
  </si>
  <si>
    <t>Yundt, Leuschke and Ward Pharma Plc</t>
  </si>
  <si>
    <t>Ahaus</t>
  </si>
  <si>
    <t xml:space="preserve">Pfannerstill Group </t>
  </si>
  <si>
    <t>Calw</t>
  </si>
  <si>
    <t>Skiles-McKenzie Pharmacy</t>
  </si>
  <si>
    <t>Dreieich</t>
  </si>
  <si>
    <t>Predovic LLC Pharmaceutical Ltd</t>
  </si>
  <si>
    <t>Hannover</t>
  </si>
  <si>
    <t>Reinger Group Pharmaceutical Limited</t>
  </si>
  <si>
    <t>Schwerin</t>
  </si>
  <si>
    <t>Hane Ltd Pharmaceutical Ltd</t>
  </si>
  <si>
    <t>Aichach</t>
  </si>
  <si>
    <t>Funk, Ratke and Heaney Pharma Plc</t>
  </si>
  <si>
    <t>Bautzen</t>
  </si>
  <si>
    <t>Gleason PLC Pharma Plc</t>
  </si>
  <si>
    <t>Bad Reichenhall</t>
  </si>
  <si>
    <t>McDermott Group Pharmaceutical Ltd</t>
  </si>
  <si>
    <t>Lindau</t>
  </si>
  <si>
    <t>Graham and Sons Pharma Plc</t>
  </si>
  <si>
    <t>Bad Salzungen</t>
  </si>
  <si>
    <t>Schmitt LLC Pharma Plc</t>
  </si>
  <si>
    <t>Konstanz</t>
  </si>
  <si>
    <t>Kris LLC Pharmacy</t>
  </si>
  <si>
    <t>Halberstadt</t>
  </si>
  <si>
    <t>Fritsch LLC Pharm</t>
  </si>
  <si>
    <t>Biberach</t>
  </si>
  <si>
    <t>Gerlach PLC Pharmaceutical Ltd</t>
  </si>
  <si>
    <t>Lünen</t>
  </si>
  <si>
    <t>Monahan Ltd Pharmaceutical Ltd</t>
  </si>
  <si>
    <t>Lüneburg</t>
  </si>
  <si>
    <t>Wisozk, Brekke and Bartoletti Pharmacy</t>
  </si>
  <si>
    <t>Falkensee</t>
  </si>
  <si>
    <t>Gerlach LLC Pharmacy</t>
  </si>
  <si>
    <t>Hofheim</t>
  </si>
  <si>
    <t>VonRueden-Adams Pharm</t>
  </si>
  <si>
    <t>Delitzsch</t>
  </si>
  <si>
    <t>Balistreri Group Pharm</t>
  </si>
  <si>
    <t>Böblingen</t>
  </si>
  <si>
    <t>Senger-Kirlin Pharma Plc</t>
  </si>
  <si>
    <t>Soest</t>
  </si>
  <si>
    <t>Hansen, Fadel and Schroeder Pharmaceutical Ltd</t>
  </si>
  <si>
    <t>Herrenberg</t>
  </si>
  <si>
    <t>Brakus, Rempel and Harber Pharmacy</t>
  </si>
  <si>
    <t>Fulda</t>
  </si>
  <si>
    <t>Harris-Conroy Pharmacy</t>
  </si>
  <si>
    <t>Wilhelmshaven</t>
  </si>
  <si>
    <t>Durgan-Rice Pharmacy</t>
  </si>
  <si>
    <t>Dormagen</t>
  </si>
  <si>
    <t>Hansen, Fadel and Schroeder Pharma Plc</t>
  </si>
  <si>
    <t>Wolfsburg</t>
  </si>
  <si>
    <t>Effertz, Heaney and Tillman Pharma Plc</t>
  </si>
  <si>
    <t>Bad Nauheim</t>
  </si>
  <si>
    <t>Pfannerstill, Upton and Balistreri Pharmacy</t>
  </si>
  <si>
    <t>Dillingen</t>
  </si>
  <si>
    <t>Crist LLC Pharma Plc</t>
  </si>
  <si>
    <t>Schimmel-Waelchi Pharma Plc</t>
  </si>
  <si>
    <t>Garbsen</t>
  </si>
  <si>
    <t>Blanda, Stehr and Gleason Pharma Plc</t>
  </si>
  <si>
    <t>Starnberg</t>
  </si>
  <si>
    <t xml:space="preserve">Wuckert, Kreiger and Howell </t>
  </si>
  <si>
    <t>Idar-Oberstein</t>
  </si>
  <si>
    <t>Kub, Von and Herzog Pharmaceutical Ltd</t>
  </si>
  <si>
    <t>Borken</t>
  </si>
  <si>
    <t>Steuber, Hills and Botsford Pharma Plc</t>
  </si>
  <si>
    <t>Schmallenberg</t>
  </si>
  <si>
    <t>Heller-Abernathy Pharma Plc</t>
  </si>
  <si>
    <t>Heide</t>
  </si>
  <si>
    <t>Doyle-Tillman Pharm</t>
  </si>
  <si>
    <t>Erftstadt</t>
  </si>
  <si>
    <t xml:space="preserve">Boyer and Sons </t>
  </si>
  <si>
    <t>Greifswald</t>
  </si>
  <si>
    <t>Harris, Daugherty and Okuneva Pharmaceutical Limited</t>
  </si>
  <si>
    <t>Meißen</t>
  </si>
  <si>
    <t>Mann-Waelchi Pharma Plc</t>
  </si>
  <si>
    <t>Ulm</t>
  </si>
  <si>
    <t>Roob, Ernser and Kub Pharmacy</t>
  </si>
  <si>
    <t>Göttingen</t>
  </si>
  <si>
    <t>Greenholt, Donnelly and O'Reilly Pharmaceutical Ltd</t>
  </si>
  <si>
    <t>Villingen-Schwenningen</t>
  </si>
  <si>
    <t xml:space="preserve">Kuhic LLC </t>
  </si>
  <si>
    <t>Schleswig</t>
  </si>
  <si>
    <t>Runte-Marquardt Pharm</t>
  </si>
  <si>
    <t>Wittenberg</t>
  </si>
  <si>
    <t>Gottlieb-Koss Pharmacy</t>
  </si>
  <si>
    <t>Sangerhausen</t>
  </si>
  <si>
    <t>Ondricka, Rosenbaum and Beahan Pharm</t>
  </si>
  <si>
    <t>Iserlohn</t>
  </si>
  <si>
    <t>Barrows-Kohler Pharm</t>
  </si>
  <si>
    <t>Hamburg</t>
  </si>
  <si>
    <t>McKenzie-Zemlak Pharm</t>
  </si>
  <si>
    <t>Rheinbach</t>
  </si>
  <si>
    <t>Funk PLC Pharm</t>
  </si>
  <si>
    <t>Delmenhorst</t>
  </si>
  <si>
    <t>Hansen Group Pharmacy</t>
  </si>
  <si>
    <t>Warendorf</t>
  </si>
  <si>
    <t>Daugherty-Rempel Pharmaceutical Limited</t>
  </si>
  <si>
    <t>Sigmaringen</t>
  </si>
  <si>
    <t>Moen, Murazik and Smith Pharmaceutical Ltd</t>
  </si>
  <si>
    <t>Ingolstadt</t>
  </si>
  <si>
    <t xml:space="preserve">Leannon-West </t>
  </si>
  <si>
    <t>Rösrath</t>
  </si>
  <si>
    <t>Steuber Ltd Pharmaceutical Limited</t>
  </si>
  <si>
    <t>Ennepetal</t>
  </si>
  <si>
    <t>Beahan, Littel and Ondricka Pharma Plc</t>
  </si>
  <si>
    <t>Salzwedel</t>
  </si>
  <si>
    <t>Watsica, Larson and Labadie Pharma Plc</t>
  </si>
  <si>
    <t>Husum</t>
  </si>
  <si>
    <t>Terry-Kub Pharma Plc</t>
  </si>
  <si>
    <t>Weimar</t>
  </si>
  <si>
    <t>Buckridge-Davis Pharmaceutical Ltd</t>
  </si>
  <si>
    <t>Herne</t>
  </si>
  <si>
    <t>Lockman Ltd Pharma Plc</t>
  </si>
  <si>
    <t>Bad Tölz</t>
  </si>
  <si>
    <t>Schulist-Zulauf Pharmaceutical Ltd</t>
  </si>
  <si>
    <t>Kornwestheim</t>
  </si>
  <si>
    <t xml:space="preserve">Friesen Group </t>
  </si>
  <si>
    <t>Meiningen</t>
  </si>
  <si>
    <t>Osinski-Botsford Pharm</t>
  </si>
  <si>
    <t>Meerbusch</t>
  </si>
  <si>
    <t>Lockman-Welch Pharmaceutical Limited</t>
  </si>
  <si>
    <t>Zweibrücken</t>
  </si>
  <si>
    <t xml:space="preserve">Cartwright-Fay </t>
  </si>
  <si>
    <t>Stolberg</t>
  </si>
  <si>
    <t>Homenick-Larson Pharmaceutical Ltd</t>
  </si>
  <si>
    <t>Bergkamen</t>
  </si>
  <si>
    <t>Jacobs-Jones Pharmaceutical Ltd</t>
  </si>
  <si>
    <t>Flensburg</t>
  </si>
  <si>
    <t>Hermiston and Sons Pharmacy</t>
  </si>
  <si>
    <t>Plauen</t>
  </si>
  <si>
    <t>Leuschke PLC Pharmaceutical Ltd</t>
  </si>
  <si>
    <t>Worms</t>
  </si>
  <si>
    <t>Johns, Mueller and Nitzsche Pharma Plc</t>
  </si>
  <si>
    <t>Hemer</t>
  </si>
  <si>
    <t>Nader-Gaylord Pharmacy</t>
  </si>
  <si>
    <t>Backnang</t>
  </si>
  <si>
    <t>Prohaska-Kuhic Pharma Plc</t>
  </si>
  <si>
    <t>Pirmasens</t>
  </si>
  <si>
    <t>Ritchie-Rodriguez Pharmacy</t>
  </si>
  <si>
    <t>Herford</t>
  </si>
  <si>
    <t>Runolfsson-Halvorson Pharmacy</t>
  </si>
  <si>
    <t>Recklinghausen</t>
  </si>
  <si>
    <t>Reinger Group Pharma Plc</t>
  </si>
  <si>
    <t>Weil am Rhein</t>
  </si>
  <si>
    <t>Block, Thiel and Kuphal Pharmaceutical Limited</t>
  </si>
  <si>
    <t>Ludwigsburg</t>
  </si>
  <si>
    <t>Welch-Orn Pharm</t>
  </si>
  <si>
    <t>Emden</t>
  </si>
  <si>
    <t>Carter-Conn Pharm</t>
  </si>
  <si>
    <t>Lemgo</t>
  </si>
  <si>
    <t>Koch, Borer and Hagenes Pharmaceutical Ltd</t>
  </si>
  <si>
    <t>Lauf</t>
  </si>
  <si>
    <t xml:space="preserve">Kshlerin, Ryan and Leuschke </t>
  </si>
  <si>
    <t>Goch</t>
  </si>
  <si>
    <t>Sauer-Herzog Pharmacy</t>
  </si>
  <si>
    <t>Winsen</t>
  </si>
  <si>
    <t>Dach Ltd Pharm</t>
  </si>
  <si>
    <t>Saarlouis</t>
  </si>
  <si>
    <t>Okuneva-Corkery Pharma Plc</t>
  </si>
  <si>
    <t>Bornheim</t>
  </si>
  <si>
    <t xml:space="preserve">Paucek PLC </t>
  </si>
  <si>
    <t>Espelkamp</t>
  </si>
  <si>
    <t>Kutch, Daniel and Ortiz Pharm</t>
  </si>
  <si>
    <t>Gummersbach</t>
  </si>
  <si>
    <t>Miller-Satterfield Pharm</t>
  </si>
  <si>
    <t>Heinsberg</t>
  </si>
  <si>
    <t>Botsford and Sons Pharma Plc</t>
  </si>
  <si>
    <t>Bad Hersfeld</t>
  </si>
  <si>
    <t xml:space="preserve">Wintheiser, Breitenberg and Gottlieb </t>
  </si>
  <si>
    <t>Bünde</t>
  </si>
  <si>
    <t>Effertz, Heaney and Tillman Pharm</t>
  </si>
  <si>
    <t>Regensburg</t>
  </si>
  <si>
    <t>Hermiston and Sons Pharmaceutical Ltd</t>
  </si>
  <si>
    <t>Geislingen an der Steige</t>
  </si>
  <si>
    <t>Cartwright-Fay Pharmaceutical Ltd</t>
  </si>
  <si>
    <t>Wangen im Allgäu</t>
  </si>
  <si>
    <t>Feest-Roob Pharmaceutical Limited</t>
  </si>
  <si>
    <t>Osterode</t>
  </si>
  <si>
    <t>Weber Ltd Pharmaceutical Ltd</t>
  </si>
  <si>
    <t>Merseburg</t>
  </si>
  <si>
    <t>Stanton-Cole Pharma Plc</t>
  </si>
  <si>
    <t>Andernach</t>
  </si>
  <si>
    <t>Pfannerstill Group Pharmaceutical Limited</t>
  </si>
  <si>
    <t>Kaarst</t>
  </si>
  <si>
    <t>Lesch PLC Pharma Plc</t>
  </si>
  <si>
    <t>Königs Wusterhausen</t>
  </si>
  <si>
    <t>Upton, Abernathy and Goodwin Pharm</t>
  </si>
  <si>
    <t>Kelkheim (Taunus)</t>
  </si>
  <si>
    <t xml:space="preserve">Homenick-Larson </t>
  </si>
  <si>
    <t>Lübbecke</t>
  </si>
  <si>
    <t>Franecki Inc Pharmacy</t>
  </si>
  <si>
    <t>Norden</t>
  </si>
  <si>
    <t>Gulgowski-Vandervort Pharm</t>
  </si>
  <si>
    <t>Rathenow</t>
  </si>
  <si>
    <t xml:space="preserve">Heathcote, Kovacek and Parker </t>
  </si>
  <si>
    <t>Hof</t>
  </si>
  <si>
    <t>Sipes and Sons Pharma Plc</t>
  </si>
  <si>
    <t>Radebeul</t>
  </si>
  <si>
    <t xml:space="preserve">Pfeffer-Hodkiewicz </t>
  </si>
  <si>
    <t>Nordenham</t>
  </si>
  <si>
    <t>Paucek, Keeling and Bruen Pharmaceutical Limited</t>
  </si>
  <si>
    <t>Bad Kreuznach</t>
  </si>
  <si>
    <t>Gottlieb-Cruickshank Pharm</t>
  </si>
  <si>
    <t>Schwabach</t>
  </si>
  <si>
    <t>Casper, Hyatt and Jakubowski Pharmacy</t>
  </si>
  <si>
    <t>Minden</t>
  </si>
  <si>
    <t>Pfeffer-Kirlin Pharmacy</t>
  </si>
  <si>
    <t>Ahlen</t>
  </si>
  <si>
    <t xml:space="preserve">Ondricka Ltd </t>
  </si>
  <si>
    <t>Saalfeld</t>
  </si>
  <si>
    <t>Cremin-Zemlak Pharmaceutical Limited</t>
  </si>
  <si>
    <t>Cottbus</t>
  </si>
  <si>
    <t>Hermiston LLC Pharmaceutical Ltd</t>
  </si>
  <si>
    <t>Weingarten</t>
  </si>
  <si>
    <t>Osinski-Botsford Pharmacy</t>
  </si>
  <si>
    <t>Wiesloch</t>
  </si>
  <si>
    <t>Carter-Conn Pharmaceutical Ltd</t>
  </si>
  <si>
    <t>Günzburg</t>
  </si>
  <si>
    <t xml:space="preserve">Nolan, DuBuque and Schultz </t>
  </si>
  <si>
    <t>Oldenburg</t>
  </si>
  <si>
    <t>Osinski-Collins Pharma Plc</t>
  </si>
  <si>
    <t>Potsdam</t>
  </si>
  <si>
    <t xml:space="preserve">Yundt, Leuschke and Ward </t>
  </si>
  <si>
    <t>Wittlich</t>
  </si>
  <si>
    <t>Mante-Grady Pharmaceutical Ltd</t>
  </si>
  <si>
    <t>Laatzen</t>
  </si>
  <si>
    <t>Legros-Runte Pharmaceutical Limited</t>
  </si>
  <si>
    <t>Neckarsulm</t>
  </si>
  <si>
    <t>Steuber Ltd Pharm</t>
  </si>
  <si>
    <t>Gera</t>
  </si>
  <si>
    <t>Paucek PLC Pharm</t>
  </si>
  <si>
    <t>Bruchsal</t>
  </si>
  <si>
    <t>Sauer and Sons Pharmacy</t>
  </si>
  <si>
    <t>Hürth</t>
  </si>
  <si>
    <t xml:space="preserve">Lockman-Welch </t>
  </si>
  <si>
    <t>Kiel</t>
  </si>
  <si>
    <t>Pfeffer-Hodkiewicz Pharm</t>
  </si>
  <si>
    <t>Pulheim</t>
  </si>
  <si>
    <t>Boyer and Sons Pharmaceutical Ltd</t>
  </si>
  <si>
    <t>Arnstadt</t>
  </si>
  <si>
    <t>Schaefer-Rolfson Pharma Plc</t>
  </si>
  <si>
    <t>Freiberg</t>
  </si>
  <si>
    <t>Crist, Wisoky and Nolan Pharmaceutical Limited</t>
  </si>
  <si>
    <t>Wermelskirchen</t>
  </si>
  <si>
    <t>Upton PLC Pharmaceutical Limited</t>
  </si>
  <si>
    <t>Mühlhausen</t>
  </si>
  <si>
    <t>Block-Romaguera Pharmacy</t>
  </si>
  <si>
    <t>Werl</t>
  </si>
  <si>
    <t>Langworth, Olson and Satterfield Pharm</t>
  </si>
  <si>
    <t>Tübingen</t>
  </si>
  <si>
    <t>Kris LLC Pharmaceutical Ltd</t>
  </si>
  <si>
    <t>Lichtenfels</t>
  </si>
  <si>
    <t>Veum-Kerluke Pharma Plc</t>
  </si>
  <si>
    <t>Wismar</t>
  </si>
  <si>
    <t xml:space="preserve">Kling Inc </t>
  </si>
  <si>
    <t>Itzehoe</t>
  </si>
  <si>
    <t xml:space="preserve">Mayert-Weber </t>
  </si>
  <si>
    <t>Homburg</t>
  </si>
  <si>
    <t>Denesik, Walter and Beatty Pharmacy</t>
  </si>
  <si>
    <t>Ludwigsfelde</t>
  </si>
  <si>
    <t xml:space="preserve">Hills, Stroman and Ernser </t>
  </si>
  <si>
    <t>Rheda-Wiedenbrück</t>
  </si>
  <si>
    <t>Gleichner, Bahringer and Morar Pharmacy</t>
  </si>
  <si>
    <t>Brilon</t>
  </si>
  <si>
    <t>Towne, Cummerata and Blanda Pharmaceutical Limited</t>
  </si>
  <si>
    <t>Naumburg</t>
  </si>
  <si>
    <t>Parisian Ltd Pharma Plc</t>
  </si>
  <si>
    <t>Paderborn</t>
  </si>
  <si>
    <t>Will, McGlynn and Fritsch Pharmaceutical Limited</t>
  </si>
  <si>
    <t>Alzey</t>
  </si>
  <si>
    <t xml:space="preserve">Cummings LLC </t>
  </si>
  <si>
    <t>Schwäbisch Gmünd</t>
  </si>
  <si>
    <t xml:space="preserve">Beahan, Littel and Ondricka </t>
  </si>
  <si>
    <t>Memmingen</t>
  </si>
  <si>
    <t xml:space="preserve">Kreiger Inc </t>
  </si>
  <si>
    <t>Burgdorf</t>
  </si>
  <si>
    <t>Crona PLC Pharmacy</t>
  </si>
  <si>
    <t>Eschweiler</t>
  </si>
  <si>
    <t>McDermott Group Pharmacy</t>
  </si>
  <si>
    <t>Leonberg</t>
  </si>
  <si>
    <t>Kutch-Marks Pharma Plc</t>
  </si>
  <si>
    <t>Koblenz</t>
  </si>
  <si>
    <t>Hill Ltd Pharmaceutical Limited</t>
  </si>
  <si>
    <t>Augsburg</t>
  </si>
  <si>
    <t>Blanda, Stehr and Gleason Pharmaceutical Ltd</t>
  </si>
  <si>
    <t>Kamen</t>
  </si>
  <si>
    <t>Kshlerin, Ryan and Leuschke Pharm</t>
  </si>
  <si>
    <t>Rostock</t>
  </si>
  <si>
    <t>Lindgren-Simonis Pharmacy</t>
  </si>
  <si>
    <t>Neumarkt</t>
  </si>
  <si>
    <t>Erdman PLC Pharma Plc</t>
  </si>
  <si>
    <t>Freital</t>
  </si>
  <si>
    <t xml:space="preserve">Wiegand, Jast and Yost </t>
  </si>
  <si>
    <t>Korschenbroich</t>
  </si>
  <si>
    <t xml:space="preserve">Rowe PLC </t>
  </si>
  <si>
    <t>Lörrach</t>
  </si>
  <si>
    <t>Kuphal, D'Amore and Bode Pharmacy</t>
  </si>
  <si>
    <t>Wesseling</t>
  </si>
  <si>
    <t>Upton PLC Pharma Plc</t>
  </si>
  <si>
    <t>Munich</t>
  </si>
  <si>
    <t>Walsh-Brown Pharma Plc</t>
  </si>
  <si>
    <t>Osnabrück</t>
  </si>
  <si>
    <t>Funk PLC Pharma Plc</t>
  </si>
  <si>
    <t>Rietberg</t>
  </si>
  <si>
    <t>Prohaska-Kuhic Pharmaceutical Limited</t>
  </si>
  <si>
    <t>Wittmund</t>
  </si>
  <si>
    <t xml:space="preserve">Crona Group </t>
  </si>
  <si>
    <t>Viersen</t>
  </si>
  <si>
    <t>Rosenbaum, Klein and Herzog Pharma Plc</t>
  </si>
  <si>
    <t>Parchim</t>
  </si>
  <si>
    <t>Gerlach LLC Pharma Plc</t>
  </si>
  <si>
    <t>Torgau</t>
  </si>
  <si>
    <t>Lemke Ltd Pharmaceutical Limited</t>
  </si>
  <si>
    <t>Jülich</t>
  </si>
  <si>
    <t>Reichel Inc Pharm</t>
  </si>
  <si>
    <t>Schönebeck</t>
  </si>
  <si>
    <t>Hills, Stroman and Ernser Pharmaceutical Ltd</t>
  </si>
  <si>
    <t>Zittau</t>
  </si>
  <si>
    <t>Hartmann-Wolf Pharmaceutical Limited</t>
  </si>
  <si>
    <t>Kitzingen</t>
  </si>
  <si>
    <t>Schaefer Group Pharmaceutical Ltd</t>
  </si>
  <si>
    <t>Rodgau</t>
  </si>
  <si>
    <t>Sipes and Sons Pharmaceutical Limited</t>
  </si>
  <si>
    <t>Krefeld</t>
  </si>
  <si>
    <t>Runolfsson-Powlowski Pharmaceutical Limited</t>
  </si>
  <si>
    <t>Wiesbaden</t>
  </si>
  <si>
    <t>Rosenbaum, Klein and Herzog Pharmaceutical Ltd</t>
  </si>
  <si>
    <t>Fürstenfeldbruck</t>
  </si>
  <si>
    <t>Will, McGlynn and Fritsch Pharmaceutical Ltd</t>
  </si>
  <si>
    <t>Bitterfeld</t>
  </si>
  <si>
    <t>Crist Ltd Pharma Plc</t>
  </si>
  <si>
    <t>Willich</t>
  </si>
  <si>
    <t>Kozey-Schroeder Pharm</t>
  </si>
  <si>
    <t>Heiligenhaus</t>
  </si>
  <si>
    <t>West Group Pharm</t>
  </si>
  <si>
    <t>Langenfeld</t>
  </si>
  <si>
    <t>Kertzmann, Quitzon and Harris Pharmaceutical Limited</t>
  </si>
  <si>
    <t>Forst</t>
  </si>
  <si>
    <t xml:space="preserve">Wisozk, Brekke and Bartoletti </t>
  </si>
  <si>
    <t>Sonneberg</t>
  </si>
  <si>
    <t>Legros-Runte Pharmaceutical Ltd</t>
  </si>
  <si>
    <t>Baden-Baden</t>
  </si>
  <si>
    <t>Konopelski-Blick Pharmaceutical Limited</t>
  </si>
  <si>
    <t>Bramsche</t>
  </si>
  <si>
    <t>Kozey-Schroeder Pharma Plc</t>
  </si>
  <si>
    <t>Langenhagen</t>
  </si>
  <si>
    <t>Cremin-Zemlak Pharma Plc</t>
  </si>
  <si>
    <t>Haan</t>
  </si>
  <si>
    <t>Hermiston LLC Pharm</t>
  </si>
  <si>
    <t>Moers</t>
  </si>
  <si>
    <t>Lockman Ltd Pharm</t>
  </si>
  <si>
    <t>Mettmann</t>
  </si>
  <si>
    <t>Denesik-Hintz Pharma Plc</t>
  </si>
  <si>
    <t>Wiehl</t>
  </si>
  <si>
    <t>Rosenbaum-Tromp Pharm</t>
  </si>
  <si>
    <t>Bühl</t>
  </si>
  <si>
    <t>Vandervort LLC Pharm</t>
  </si>
  <si>
    <t>Stade</t>
  </si>
  <si>
    <t>Bernier, Murphy and Rau Pharma Plc</t>
  </si>
  <si>
    <t>Geldern</t>
  </si>
  <si>
    <t>VonRueden-Adams Pharmaceutical Limited</t>
  </si>
  <si>
    <t>Fellbach</t>
  </si>
  <si>
    <t xml:space="preserve">Fahey-Flatley </t>
  </si>
  <si>
    <t>Hagen</t>
  </si>
  <si>
    <t>Waelchi LLC Pharm</t>
  </si>
  <si>
    <t>Sinsheim</t>
  </si>
  <si>
    <t>Huels-Klein Pharmaceutical Ltd</t>
  </si>
  <si>
    <t>Helmstedt</t>
  </si>
  <si>
    <t>Franecki Inc Pharma Plc</t>
  </si>
  <si>
    <t>Schwerte</t>
  </si>
  <si>
    <t xml:space="preserve">Crist LLC </t>
  </si>
  <si>
    <t>Mühlacker</t>
  </si>
  <si>
    <t>Parisian Ltd Pharmacy</t>
  </si>
  <si>
    <t>Hoyerswerda</t>
  </si>
  <si>
    <t>Schaefer LLC Pharma Plc</t>
  </si>
  <si>
    <t>Stendal</t>
  </si>
  <si>
    <t>D'Amore and Sons Pharmacy</t>
  </si>
  <si>
    <t>Lohne</t>
  </si>
  <si>
    <t>Denesik-Hintz Pharmaceutical Limited</t>
  </si>
  <si>
    <t>Dülmen</t>
  </si>
  <si>
    <t>Trantow LLC Pharm</t>
  </si>
  <si>
    <t>Harsewinkel</t>
  </si>
  <si>
    <t>Erdman, Senger and Oberbrunner Pharmaceutical Ltd</t>
  </si>
  <si>
    <t>Geretsried</t>
  </si>
  <si>
    <t xml:space="preserve">Breitenberg-Kuhn </t>
  </si>
  <si>
    <t>Duisburg</t>
  </si>
  <si>
    <t>Zieme, Doyle and Kunze Pharmacy</t>
  </si>
  <si>
    <t>Tuttlingen</t>
  </si>
  <si>
    <t>Crist Inc Pharma Plc</t>
  </si>
  <si>
    <t>Eschwege</t>
  </si>
  <si>
    <t xml:space="preserve">Wolff Group </t>
  </si>
  <si>
    <t>Pfungstadt</t>
  </si>
  <si>
    <t>White Inc Pharmacy</t>
  </si>
  <si>
    <t>Bad Homburg</t>
  </si>
  <si>
    <t>Wolff Group Pharmaceutical Ltd</t>
  </si>
  <si>
    <t>Alsdorf</t>
  </si>
  <si>
    <t>Heidenreich Group Pharm</t>
  </si>
  <si>
    <t>Mannheim</t>
  </si>
  <si>
    <t>Rohan PLC Pharmacy</t>
  </si>
  <si>
    <t>Schwäbisch Hall</t>
  </si>
  <si>
    <t>Jakubowski Inc Pharma Plc</t>
  </si>
  <si>
    <t>Tönisvorst</t>
  </si>
  <si>
    <t>Weber Ltd Pharmacy</t>
  </si>
  <si>
    <t>Halle</t>
  </si>
  <si>
    <t>Parisian, Hagenes and Skiles Pharmacy</t>
  </si>
  <si>
    <t>Buxtehude</t>
  </si>
  <si>
    <t>McCullough LLC Pharmaceutical Limited</t>
  </si>
  <si>
    <t>Nuremberg</t>
  </si>
  <si>
    <t>Daniel, Baumbach and Nitzsche Pharmacy</t>
  </si>
  <si>
    <t>Kempten</t>
  </si>
  <si>
    <t xml:space="preserve">Hammes, Bashirian and Pacocha </t>
  </si>
  <si>
    <t>Aschaffenburg</t>
  </si>
  <si>
    <t>Welch-Orn Pharmacy</t>
  </si>
  <si>
    <t>Bingen am Rhein</t>
  </si>
  <si>
    <t>Smith Inc Pharm</t>
  </si>
  <si>
    <t>Luckenwalde</t>
  </si>
  <si>
    <t>Funk and Sons Pharm</t>
  </si>
  <si>
    <t>Gießen</t>
  </si>
  <si>
    <t>Torphy, Pfeffer and Jakubowski Pharmaceutical Ltd</t>
  </si>
  <si>
    <t>Leipzig</t>
  </si>
  <si>
    <t>Balistreri Group Pharmacy</t>
  </si>
  <si>
    <t>Bad Honnef am Rhein</t>
  </si>
  <si>
    <t>Hahn, Rutherford and Gislason Pharmacy</t>
  </si>
  <si>
    <t>Wolfenbüttel</t>
  </si>
  <si>
    <t>Hill Ltd Pharma Plc</t>
  </si>
  <si>
    <t>Seelze</t>
  </si>
  <si>
    <t>Bogan, Jacobs and Kris Pharmaceutical Limited</t>
  </si>
  <si>
    <t>Wetzlar</t>
  </si>
  <si>
    <t>Fritsch, Hodkiewicz and Sipes Pharmacy</t>
  </si>
  <si>
    <t>Haldensleben</t>
  </si>
  <si>
    <t>Wehner-Stehr Pharm</t>
  </si>
  <si>
    <t>Chemnitz</t>
  </si>
  <si>
    <t>Marquardt PLC Pharmaceutical Ltd</t>
  </si>
  <si>
    <t>Offenburg</t>
  </si>
  <si>
    <t>Koch-Osinski Pharmaceutical Ltd</t>
  </si>
  <si>
    <t>Sankt Augustin</t>
  </si>
  <si>
    <t xml:space="preserve">Sauer and Sons </t>
  </si>
  <si>
    <t>Mechernich</t>
  </si>
  <si>
    <t xml:space="preserve">Feest-Kshlerin </t>
  </si>
  <si>
    <t>Velbert</t>
  </si>
  <si>
    <t xml:space="preserve">Buckridge, Hand and Hyatt </t>
  </si>
  <si>
    <t>Dinslaken</t>
  </si>
  <si>
    <t>Kris LLC Pharmaceutical Limited</t>
  </si>
  <si>
    <t>Herten</t>
  </si>
  <si>
    <t>Collins-Schmidt Pharma Plc</t>
  </si>
  <si>
    <t>Marburg</t>
  </si>
  <si>
    <t>Nader-Borer Pharmaceutical Limited</t>
  </si>
  <si>
    <t>Grimma</t>
  </si>
  <si>
    <t>Kunze PLC Pharma Plc</t>
  </si>
  <si>
    <t>Eisenach</t>
  </si>
  <si>
    <t xml:space="preserve">Purdy Ltd </t>
  </si>
  <si>
    <t>Erkelenz</t>
  </si>
  <si>
    <t>McClure, Zemlak and Dibbert Pharmacy</t>
  </si>
  <si>
    <t>Beckum</t>
  </si>
  <si>
    <t>Kling Inc Pharm</t>
  </si>
  <si>
    <t>Heilbronn</t>
  </si>
  <si>
    <t>Crist Inc Pharmaceutical Ltd</t>
  </si>
  <si>
    <t>Völklingen</t>
  </si>
  <si>
    <t>Fritsch-Hauck Pharm</t>
  </si>
  <si>
    <t>Fürstenwalde</t>
  </si>
  <si>
    <t>Kirlin, Hamill and Dickinson Pharma Plc</t>
  </si>
  <si>
    <t>Weißenburg</t>
  </si>
  <si>
    <t>Ward Group Pharm</t>
  </si>
  <si>
    <t>Mönchengladbach</t>
  </si>
  <si>
    <t>Bartoletti-Altenwerth Pharm</t>
  </si>
  <si>
    <t>Aalen</t>
  </si>
  <si>
    <t>Rogahn-Klein Pharm</t>
  </si>
  <si>
    <t>Donauwörth</t>
  </si>
  <si>
    <t xml:space="preserve">Beier PLC </t>
  </si>
  <si>
    <t>Heidelberg</t>
  </si>
  <si>
    <t>Walter Ltd Pharmaceutical Limited</t>
  </si>
  <si>
    <t>Neubrandenburg</t>
  </si>
  <si>
    <t>Brakus, Rempel and Harber Pharm</t>
  </si>
  <si>
    <t>Winnenden</t>
  </si>
  <si>
    <t>Welch-Langworth Pharm</t>
  </si>
  <si>
    <t>Papenburg</t>
  </si>
  <si>
    <t>West Group Pharma Plc</t>
  </si>
  <si>
    <t>Aschersleben</t>
  </si>
  <si>
    <t>Armstrong, Medhurst and Bogisich Pharmacy</t>
  </si>
  <si>
    <t>Lehrte</t>
  </si>
  <si>
    <t>Bayer LLC Pharm</t>
  </si>
  <si>
    <t>Neunkirchen</t>
  </si>
  <si>
    <t>Zemlak Group Pharmacy</t>
  </si>
  <si>
    <t>Solingen</t>
  </si>
  <si>
    <t>Koss-Beier Pharmaceutical Limited</t>
  </si>
  <si>
    <t>Rastatt</t>
  </si>
  <si>
    <t xml:space="preserve">Bashirian Group </t>
  </si>
  <si>
    <t>Pforzheim</t>
  </si>
  <si>
    <t>Collins-Schmidt Pharmaceutical Limited</t>
  </si>
  <si>
    <t>Bretten</t>
  </si>
  <si>
    <t>Marquardt-Ryan Pharm</t>
  </si>
  <si>
    <t>Königswinter</t>
  </si>
  <si>
    <t>Ondricka Ltd Pharmaceutical Ltd</t>
  </si>
  <si>
    <t>Bamberg</t>
  </si>
  <si>
    <t>Johnson, Friesen and Torphy Pharm</t>
  </si>
  <si>
    <t>Ravensburg</t>
  </si>
  <si>
    <t xml:space="preserve">Denesik, Walter and Beatty </t>
  </si>
  <si>
    <t>Nordhorn</t>
  </si>
  <si>
    <t xml:space="preserve">Schaden-Hirthe </t>
  </si>
  <si>
    <t>Kaiserslautern</t>
  </si>
  <si>
    <t>Hahn, Rutherford and Gislason Pharm</t>
  </si>
  <si>
    <t>Kulmbach</t>
  </si>
  <si>
    <t>Feest-Roob Pharmacy</t>
  </si>
  <si>
    <t>Nordhausen</t>
  </si>
  <si>
    <t>Kirlin, Hamill and Dickinson Pharmaceutical Limited</t>
  </si>
  <si>
    <t>Pirna</t>
  </si>
  <si>
    <t xml:space="preserve">Konopelski-Blick </t>
  </si>
  <si>
    <t>Bergisch Gladbach</t>
  </si>
  <si>
    <t>Pfannerstill, Upton and Balistreri Pharm</t>
  </si>
  <si>
    <t>Ilmenau</t>
  </si>
  <si>
    <t>Jast-Cruickshank Pharmacy</t>
  </si>
  <si>
    <t>Sankt Ingbert</t>
  </si>
  <si>
    <t>Armstrong Inc Pharma Plc</t>
  </si>
  <si>
    <t>Passau</t>
  </si>
  <si>
    <t>Schinner, Gaylord and Treutel Pharmacy</t>
  </si>
  <si>
    <t>Hamm</t>
  </si>
  <si>
    <t>Upton, Abernathy and Goodwin Pharmaceutical Limited</t>
  </si>
  <si>
    <t>Detmold</t>
  </si>
  <si>
    <t>Blick, Pacocha and Schowalter Pharmacy</t>
  </si>
  <si>
    <t>Würzburg</t>
  </si>
  <si>
    <t>Leuschke PLC Pharm</t>
  </si>
  <si>
    <t>Gaggenau</t>
  </si>
  <si>
    <t>Blick, Pacocha and Schowalter Pharmaceutical Limited</t>
  </si>
  <si>
    <t>Delbrück</t>
  </si>
  <si>
    <t>Tillman Group Pharmaceutical Limited</t>
  </si>
  <si>
    <t>Geilenkirchen</t>
  </si>
  <si>
    <t xml:space="preserve">Murray PLC </t>
  </si>
  <si>
    <t>Wesel</t>
  </si>
  <si>
    <t>Zemlak-Witting Pharmaceutical Limited</t>
  </si>
  <si>
    <t>Plettenberg</t>
  </si>
  <si>
    <t>Mraz-Kutch Pharmacy</t>
  </si>
  <si>
    <t>Bad Salzuflen</t>
  </si>
  <si>
    <t>Rohan and Sons Pharmaceutical Limited</t>
  </si>
  <si>
    <t>Maintal</t>
  </si>
  <si>
    <t>Moore PLC Pharm</t>
  </si>
  <si>
    <t>Bremerhaven</t>
  </si>
  <si>
    <t>Ondricka-Waters Pharmaceutical Limited</t>
  </si>
  <si>
    <t>Rinteln</t>
  </si>
  <si>
    <t>Kuhic LLC Pharmaceutical Limited</t>
  </si>
  <si>
    <t>Gronau</t>
  </si>
  <si>
    <t>Hammes, Bashirian and Pacocha Pharmacy</t>
  </si>
  <si>
    <t>Schwelm</t>
  </si>
  <si>
    <t>Kihn Group Pharm</t>
  </si>
  <si>
    <t>Vaihingen an der Enz</t>
  </si>
  <si>
    <t>Barrows, Zboncak and Reichert Pharma Plc</t>
  </si>
  <si>
    <t>Burg</t>
  </si>
  <si>
    <t>Haag, Bradtke and Terry Pharm</t>
  </si>
  <si>
    <t>Hanau</t>
  </si>
  <si>
    <t>Schinner, Gaylord and Treutel Pharmaceutical Limited</t>
  </si>
  <si>
    <t>Ahrensburg</t>
  </si>
  <si>
    <t>Roob, Ernser and Kub Pharmaceutical Ltd</t>
  </si>
  <si>
    <t>Oer-Erkenschwick</t>
  </si>
  <si>
    <t xml:space="preserve">Gerhold, Mills and Effertz </t>
  </si>
  <si>
    <t>Ansbach</t>
  </si>
  <si>
    <t>Gerhold, Mills and Effertz Pharma Plc</t>
  </si>
  <si>
    <t>Stadthagen</t>
  </si>
  <si>
    <t>Feest-Kshlerin Pharma Plc</t>
  </si>
  <si>
    <t>Merzig</t>
  </si>
  <si>
    <t>Mraz-Kutch Pharma Plc</t>
  </si>
  <si>
    <t>Butzbach</t>
  </si>
  <si>
    <t>Comptes Strategiques (Key Accounts)</t>
  </si>
  <si>
    <t>Parker, Green and Emmerich Pharma Plc</t>
  </si>
  <si>
    <t>Baesweiler</t>
  </si>
  <si>
    <t xml:space="preserve">Zemlak-Witting </t>
  </si>
  <si>
    <t>Cuxhaven</t>
  </si>
  <si>
    <t>Moen, Murazik and Smith Pharm</t>
  </si>
  <si>
    <t>Altenburg</t>
  </si>
  <si>
    <t>Mills Inc Pharmaceutical Ltd</t>
  </si>
  <si>
    <t>Emsdetten</t>
  </si>
  <si>
    <t xml:space="preserve">Streich PLC </t>
  </si>
  <si>
    <t>Bottrop</t>
  </si>
  <si>
    <t>Gleichner, Bahringer and Morar Pharmaceutical Limited</t>
  </si>
  <si>
    <t>Freising</t>
  </si>
  <si>
    <t xml:space="preserve">Reichel Inc </t>
  </si>
  <si>
    <t>Trier</t>
  </si>
  <si>
    <t>Romaguera, Moen and Hagenes Pharmacy</t>
  </si>
  <si>
    <t>Castrop-Rauxel</t>
  </si>
  <si>
    <t>Torphy, Pfeffer and Jakubowski Pharm</t>
  </si>
  <si>
    <t>Limburg</t>
  </si>
  <si>
    <t xml:space="preserve">Kuphal, Herzog and Purdy </t>
  </si>
  <si>
    <t>Berlin</t>
  </si>
  <si>
    <t xml:space="preserve">Raynor-Graham </t>
  </si>
  <si>
    <t>Wedel</t>
  </si>
  <si>
    <t>Fadel-West Pharmacy</t>
  </si>
  <si>
    <t>Ditzingen</t>
  </si>
  <si>
    <t>Goldner-Tillman Pharm</t>
  </si>
  <si>
    <t>Dachau</t>
  </si>
  <si>
    <t>Stehr-Champlin Pharmacy</t>
  </si>
  <si>
    <t>Eberswalde</t>
  </si>
  <si>
    <t>Hayes-Kilback Pharmaceutical Limited</t>
  </si>
  <si>
    <t>Springe</t>
  </si>
  <si>
    <t>Prohaska, Bogisich and Gutkowski Pharmaceutical Limited</t>
  </si>
  <si>
    <t>Weinheim</t>
  </si>
  <si>
    <t>Fadel-West Pharmaceutical Ltd</t>
  </si>
  <si>
    <t>Filderstadt</t>
  </si>
  <si>
    <t>Runolfsson, Swaniawski and Jaskolski Pharmaceutical Limited</t>
  </si>
  <si>
    <t>Dessau-Roßlau</t>
  </si>
  <si>
    <t>Kozey Ltd Pharma Plc</t>
  </si>
  <si>
    <t>Griesheim</t>
  </si>
  <si>
    <t xml:space="preserve">Haag, Bradtke and Terry </t>
  </si>
  <si>
    <t>Osterholz-Scharmbeck</t>
  </si>
  <si>
    <t>Buckridge, Hand and Hyatt Pharmaceutical Ltd</t>
  </si>
  <si>
    <t>Bad Neuenahr-Ahrweiler</t>
  </si>
  <si>
    <t>Predovic LLC Pharmaceutical Limited</t>
  </si>
  <si>
    <t>Ingelheim</t>
  </si>
  <si>
    <t>Reilly Ltd Pharmacy</t>
  </si>
  <si>
    <t>Sindelfingen</t>
  </si>
  <si>
    <t xml:space="preserve">Bayer LLC </t>
  </si>
  <si>
    <t>Rudolstadt</t>
  </si>
  <si>
    <t>Abernathy Group Pharmacy</t>
  </si>
  <si>
    <t>Melle</t>
  </si>
  <si>
    <t>Barrows, Zboncak and Reichert Pharm</t>
  </si>
  <si>
    <t>Aurich</t>
  </si>
  <si>
    <t>Marquardt-Ryan Pharma Plc</t>
  </si>
  <si>
    <t>Sondershausen</t>
  </si>
  <si>
    <t>Senger-Kirlin Pharmaceutical Ltd</t>
  </si>
  <si>
    <t>Friedrichsdorf</t>
  </si>
  <si>
    <t>Buckridge-Strosin Pharmaceutical Ltd</t>
  </si>
  <si>
    <t>Erlangen</t>
  </si>
  <si>
    <t xml:space="preserve">Wehner-Stehr </t>
  </si>
  <si>
    <t>Steinfurt</t>
  </si>
  <si>
    <t>Wiegand, Jast and Yost Pharmaceutical Ltd</t>
  </si>
  <si>
    <t>Ludwigshafen</t>
  </si>
  <si>
    <t>Runolfsson-Halvorson Pharm</t>
  </si>
  <si>
    <t>Rheinberg</t>
  </si>
  <si>
    <t>McDermott Inc Pharmacy</t>
  </si>
  <si>
    <t>Frankenthal</t>
  </si>
  <si>
    <t>Bogan, Jacobs and Kris Pharmaceutical Ltd</t>
  </si>
  <si>
    <t>Heppenheim</t>
  </si>
  <si>
    <t>Langworth, Olson and Satterfield Pharmacy</t>
  </si>
  <si>
    <t>Meschede</t>
  </si>
  <si>
    <t>Schowalter, Runolfsson and VonRueden Pharmaceutical Limited</t>
  </si>
  <si>
    <t>Neuss</t>
  </si>
  <si>
    <t>Hoeger Ltd Pharm</t>
  </si>
  <si>
    <t>Lennestadt</t>
  </si>
  <si>
    <t>Smith Inc Pharmacy</t>
  </si>
  <si>
    <t>Kirchheim unter Teck</t>
  </si>
  <si>
    <t>Watsica, Larson and Labadie Pharmaceutical Ltd</t>
  </si>
  <si>
    <t>Nettetal</t>
  </si>
  <si>
    <t>Zemlak Group Pharm</t>
  </si>
  <si>
    <t>Vechta</t>
  </si>
  <si>
    <t>Runolfsson-Powlowski Pharmacy</t>
  </si>
  <si>
    <t>Crailsheim</t>
  </si>
  <si>
    <t>Gottlieb-Koss Pharm</t>
  </si>
  <si>
    <t>Hattingen</t>
  </si>
  <si>
    <t>Buckridge-Strosin Pharma Plc</t>
  </si>
  <si>
    <t>Neuruppin</t>
  </si>
  <si>
    <t>Heidenreich Group Pharmacy</t>
  </si>
  <si>
    <t>Leer</t>
  </si>
  <si>
    <t>Corkery-Kovacek Pharm</t>
  </si>
  <si>
    <t>Kehl</t>
  </si>
  <si>
    <t>Bosco-Marquardt Pharmaceutical Ltd</t>
  </si>
  <si>
    <t>Höxter</t>
  </si>
  <si>
    <t>McDermott Inc Pharma Plc</t>
  </si>
  <si>
    <t>Staßfurt</t>
  </si>
  <si>
    <t>Parker, Green and Emmerich Pharmacy</t>
  </si>
  <si>
    <t>Frankfurt (Oder)</t>
  </si>
  <si>
    <t>Heathcote, Grant and Witting Pharmacy</t>
  </si>
  <si>
    <t>Braunschweig</t>
  </si>
  <si>
    <t xml:space="preserve">Funk, Ratke and Heaney </t>
  </si>
  <si>
    <t>Bad Dürkheim</t>
  </si>
  <si>
    <t xml:space="preserve">Balistreri, Torp and Gulgowski </t>
  </si>
  <si>
    <t>Bietigheim-Bissingen</t>
  </si>
  <si>
    <t>Quigley-Heathcote Pharmaceutical Ltd</t>
  </si>
  <si>
    <t>Lohmar</t>
  </si>
  <si>
    <t>Spinka, Schowalter and Conn Pharma Plc</t>
  </si>
  <si>
    <t>Emmendingen</t>
  </si>
  <si>
    <t>McKenzie-Zemlak Pharma Plc</t>
  </si>
  <si>
    <t>Unna</t>
  </si>
  <si>
    <t xml:space="preserve">Schulist-Zulauf </t>
  </si>
  <si>
    <t>Erfurt</t>
  </si>
  <si>
    <t>Cormier, Dietrich and Zulauf Pharmacy</t>
  </si>
  <si>
    <t>Riesa</t>
  </si>
  <si>
    <t>Kuphal, D'Amore and Bode Pharm</t>
  </si>
  <si>
    <t>Cologne</t>
  </si>
  <si>
    <t>Medhurst-Beer Pharm</t>
  </si>
  <si>
    <t>Viernheim</t>
  </si>
  <si>
    <t>Rutherford and Sons Pharm</t>
  </si>
  <si>
    <t>Meppen</t>
  </si>
  <si>
    <t xml:space="preserve">Osinski-Collins </t>
  </si>
  <si>
    <t>Rheinfelden (Baden)</t>
  </si>
  <si>
    <t>Funk and Sons Pharmacy</t>
  </si>
  <si>
    <t>Friedberg</t>
  </si>
  <si>
    <t>Hill-Daniel Pharmaceutical Ltd</t>
  </si>
  <si>
    <t>Neumünster</t>
  </si>
  <si>
    <t xml:space="preserve">Beer, Kohler and Beatty </t>
  </si>
  <si>
    <t>Oberursel</t>
  </si>
  <si>
    <t>Herman, Rice and Rippin Pharmaceutical Limited</t>
  </si>
  <si>
    <t>Schorndorf</t>
  </si>
  <si>
    <t>Harris, Daugherty and Okuneva Pharm</t>
  </si>
  <si>
    <t>Neuwied</t>
  </si>
  <si>
    <t>Barrows Inc Pharmacy</t>
  </si>
  <si>
    <t>Teltow</t>
  </si>
  <si>
    <t>Koch, Borer and Hagenes Pharm</t>
  </si>
  <si>
    <t>Waiblingen</t>
  </si>
  <si>
    <t>Barton Ltd Pharm</t>
  </si>
  <si>
    <t>Rendsburg</t>
  </si>
  <si>
    <t>Veum and Sons Pharmaceutical Limited</t>
  </si>
  <si>
    <t>Landsberg</t>
  </si>
  <si>
    <t>Keeling LLC Pharmaceutical Limited</t>
  </si>
  <si>
    <t>Gelsenkirchen</t>
  </si>
  <si>
    <t>Kohler-Bednar Pharm</t>
  </si>
  <si>
    <t>Bad Vilbel</t>
  </si>
  <si>
    <t>D'Amore and Sons Pharm</t>
  </si>
  <si>
    <t>Görlitz</t>
  </si>
  <si>
    <t>Skiles-McKenzie Pharmaceutical Limited</t>
  </si>
  <si>
    <t>Westerstede</t>
  </si>
  <si>
    <t>Rosenbaum-Tromp Pharmacy</t>
  </si>
  <si>
    <t>Lüdenscheid</t>
  </si>
  <si>
    <t>Gulgowski-Vandervort Pharma Plc</t>
  </si>
  <si>
    <t>Oranienburg</t>
  </si>
  <si>
    <t>Dach PLC Pharm</t>
  </si>
  <si>
    <t>Mainz</t>
  </si>
  <si>
    <t>Raynor LLC Pharmaceutical Limited</t>
  </si>
  <si>
    <t>Strausberg</t>
  </si>
  <si>
    <t xml:space="preserve">Kihn Group </t>
  </si>
  <si>
    <t>Kleve</t>
  </si>
  <si>
    <t>Corkery, Trantow and Ferry Pharm</t>
  </si>
  <si>
    <t>Hildesheim</t>
  </si>
  <si>
    <t>Veum and Sons Pharmaceutical Ltd</t>
  </si>
  <si>
    <t>Dorsten</t>
  </si>
  <si>
    <t>Cassin PLC Pharma Plc</t>
  </si>
  <si>
    <t>Mühldorf</t>
  </si>
  <si>
    <t>Buckridge-Davis Pharmaceutical Limited</t>
  </si>
  <si>
    <t>Forchheim</t>
  </si>
  <si>
    <t>McCullough LLC Pharmaceutical Ltd</t>
  </si>
  <si>
    <t>Lage</t>
  </si>
  <si>
    <t>Bernier, Murphy and Rau Pharmaceutical Limited</t>
  </si>
  <si>
    <t>Oberhausen</t>
  </si>
  <si>
    <t>Leannon-West Pharmaceutical Limited</t>
  </si>
  <si>
    <t>Bocholt</t>
  </si>
  <si>
    <t>Schuppe Inc Pharm</t>
  </si>
  <si>
    <t>Traunstein</t>
  </si>
  <si>
    <t>Schaefer-Rolfson Pharmacy</t>
  </si>
  <si>
    <t>Germersheim</t>
  </si>
  <si>
    <t>Leffler-Russel Pharmaceutical Limited</t>
  </si>
  <si>
    <t>Hennigsdorf</t>
  </si>
  <si>
    <t>Powlowski-Buckridge Pharmacy</t>
  </si>
  <si>
    <t>Albstadt</t>
  </si>
  <si>
    <t>Streich PLC Pharm</t>
  </si>
  <si>
    <t>Radolfzell am Bodensee</t>
  </si>
  <si>
    <t>Nader-Borer Pharm</t>
  </si>
  <si>
    <t>Kerpen</t>
  </si>
  <si>
    <t>Bosco-Marquardt Pharmaceutical Limited</t>
  </si>
  <si>
    <t>Brandenburg</t>
  </si>
  <si>
    <t>Beier PLC Pharm</t>
  </si>
  <si>
    <t>Hückelhoven</t>
  </si>
  <si>
    <t xml:space="preserve">Nitzsche, Effertz and Maggio </t>
  </si>
  <si>
    <t>Bayreuth</t>
  </si>
  <si>
    <t>Zieme, Doyle and Kunze Pharm</t>
  </si>
  <si>
    <t>Stuttgart</t>
  </si>
  <si>
    <t>Wuckert, Kreiger and Howell Pharma Plc</t>
  </si>
  <si>
    <t>Lippstadt</t>
  </si>
  <si>
    <t>Buckridge, Dach and Carroll Pharmaceutical Ltd</t>
  </si>
  <si>
    <t>Baunatal</t>
  </si>
  <si>
    <t xml:space="preserve">Abernathy Group </t>
  </si>
  <si>
    <t>Horb am Neckar</t>
  </si>
  <si>
    <t>Barrows-Kohler Pharma Plc</t>
  </si>
  <si>
    <t>Coesfeld</t>
  </si>
  <si>
    <t>Kuphal, Herzog and Purdy Pharmaceutical Limited</t>
  </si>
  <si>
    <t>Erding</t>
  </si>
  <si>
    <t xml:space="preserve">Botsford PLC </t>
  </si>
  <si>
    <t>Reutlingen</t>
  </si>
  <si>
    <t xml:space="preserve">Johns, Mueller and Nitzsche </t>
  </si>
  <si>
    <t>Magdeburg</t>
  </si>
  <si>
    <t>Armstrong Inc Pharm</t>
  </si>
  <si>
    <t>Pfaffenhofen</t>
  </si>
  <si>
    <t xml:space="preserve">Torp-Fisher </t>
  </si>
  <si>
    <t>Grevenbroich</t>
  </si>
  <si>
    <t>Gibson-Hill Pharmaceutical Limited</t>
  </si>
  <si>
    <t>Casper, Hyatt and Jakubowski Pharmaceutical Ltd</t>
  </si>
  <si>
    <t>Neuburg</t>
  </si>
  <si>
    <t>Kozey-Emmerich Pharmacy</t>
  </si>
  <si>
    <t>Marktoberdorf</t>
  </si>
  <si>
    <t>Fritsch LLC Pharmaceutical Ltd</t>
  </si>
  <si>
    <t>Mülheim</t>
  </si>
  <si>
    <t>Mills Inc Pharmacy</t>
  </si>
  <si>
    <t>Bremen</t>
  </si>
  <si>
    <t>Trantow LLC Pharmacy</t>
  </si>
  <si>
    <t>Landau</t>
  </si>
  <si>
    <t>Friesen Group Pharm</t>
  </si>
  <si>
    <t>Erkrath</t>
  </si>
  <si>
    <t>Huel Inc Pharm</t>
  </si>
  <si>
    <t>Zwickau</t>
  </si>
  <si>
    <t>Fahey-Prosacco Pharmaceutical Limited</t>
  </si>
  <si>
    <t>Einbeck</t>
  </si>
  <si>
    <t xml:space="preserve">Huels-Klein </t>
  </si>
  <si>
    <t>Peine</t>
  </si>
  <si>
    <t xml:space="preserve">Schaefer Group </t>
  </si>
  <si>
    <t>Olpe</t>
  </si>
  <si>
    <t>Leuschke, Waters and Schowalter Pharmacy</t>
  </si>
  <si>
    <t>Salzkotten</t>
  </si>
  <si>
    <t>Daugherty-Rempel Pharm</t>
  </si>
  <si>
    <t>Neu Isenburg</t>
  </si>
  <si>
    <t xml:space="preserve">Kilback, Beer and Batz </t>
  </si>
  <si>
    <t>Ratingen</t>
  </si>
  <si>
    <t>Haley PLC Pharmacy</t>
  </si>
  <si>
    <t>Kassel</t>
  </si>
  <si>
    <t>Rodriguez, Stokes and Dickens Pharma Plc</t>
  </si>
  <si>
    <t>Sömmerda</t>
  </si>
  <si>
    <t>Mayert-Weber Pharmaceutical Ltd</t>
  </si>
  <si>
    <t>Apolda</t>
  </si>
  <si>
    <t>Sauer-Herzog Pharmaceutical Limited</t>
  </si>
  <si>
    <t>Bochum</t>
  </si>
  <si>
    <t>Fritsch, Hodkiewicz and Sipes Pharma Plc</t>
  </si>
  <si>
    <t>Ettlingen</t>
  </si>
  <si>
    <t>Harris-Conroy Pharm</t>
  </si>
  <si>
    <t>Oelde</t>
  </si>
  <si>
    <t xml:space="preserve">Daniel, Baumbach and Nitzsche </t>
  </si>
  <si>
    <t>Steinheim am Main</t>
  </si>
  <si>
    <t xml:space="preserve">Hoeger Ltd </t>
  </si>
  <si>
    <t>Heidenheim</t>
  </si>
  <si>
    <t>Nitzsche, Effertz and Maggio Pharmaceutical Limited</t>
  </si>
  <si>
    <t>Northeim</t>
  </si>
  <si>
    <t>Kertzmann-Ward Pharmaceutical Limited</t>
  </si>
  <si>
    <t>Goslar</t>
  </si>
  <si>
    <t>Rogahn-Klein Pharma Plc</t>
  </si>
  <si>
    <t>Leinfelden-Echterdingen</t>
  </si>
  <si>
    <t>Mraz Group Pharma Plc</t>
  </si>
  <si>
    <t>Hohen Neuendorf</t>
  </si>
  <si>
    <t>Wunsch, Mills and Walter Pharmaceutical Limited</t>
  </si>
  <si>
    <t>Münster</t>
  </si>
  <si>
    <t>Herman-Koss Pharmaceutical Ltd</t>
  </si>
  <si>
    <t>Gifhorn</t>
  </si>
  <si>
    <t>Crist, Wisoky and Nolan Pharm</t>
  </si>
  <si>
    <t>Bielefeld</t>
  </si>
  <si>
    <t>Hartmann-Wolf Pharmacy</t>
  </si>
  <si>
    <t>Wunstorf</t>
  </si>
  <si>
    <t>Yundt-Crona Pharm</t>
  </si>
  <si>
    <t>Pinneberg</t>
  </si>
  <si>
    <t>Monahan Ltd Pharma Plc</t>
  </si>
  <si>
    <t>Güstrow</t>
  </si>
  <si>
    <t>Rohan Inc Pharmaceutical Limited</t>
  </si>
  <si>
    <t>Amberg</t>
  </si>
  <si>
    <t>Goldner-Tillman Pharmacy</t>
  </si>
  <si>
    <t>Petershagen</t>
  </si>
  <si>
    <t xml:space="preserve">Steuber, Hills and Botsford </t>
  </si>
  <si>
    <t>Gotha</t>
  </si>
  <si>
    <t>Reinger, Kihn and Goyette Pharmaceutical Limited</t>
  </si>
  <si>
    <t>Overath</t>
  </si>
  <si>
    <t>Turner Ltd Pharmacy</t>
  </si>
  <si>
    <t>Dortmund</t>
  </si>
  <si>
    <t>Corkery-Kovacek Pharma Plc</t>
  </si>
  <si>
    <t>Frankfurt</t>
  </si>
  <si>
    <t>Beier PLC Pharma Plc</t>
  </si>
  <si>
    <t>Lampertheim</t>
  </si>
  <si>
    <t>Gleason PLC Pharmaceutical Limited</t>
  </si>
  <si>
    <t>Niederkassel</t>
  </si>
  <si>
    <t>Tillman Group Pharma Plc</t>
  </si>
  <si>
    <t>Neu-Ulm</t>
  </si>
  <si>
    <t>Jakubowski Inc Pharmacy</t>
  </si>
  <si>
    <t>Gladbeck</t>
  </si>
  <si>
    <t>Feest PLC Pharmaceutical Limited</t>
  </si>
  <si>
    <t>Göppingen</t>
  </si>
  <si>
    <t>Heathcote, Grant and Witting Pharmaceutical Limited</t>
  </si>
  <si>
    <t>Balingen</t>
  </si>
  <si>
    <t>Erdman, Senger and Oberbrunner Pharmacy</t>
  </si>
  <si>
    <t>Straubing</t>
  </si>
  <si>
    <t>Koss-Beier Pharmacy</t>
  </si>
  <si>
    <t>Roth</t>
  </si>
  <si>
    <t>Roob PLC Pharmaceutical Limited</t>
  </si>
  <si>
    <t>Frechen</t>
  </si>
  <si>
    <t xml:space="preserve">Powlowski-Buckridge </t>
  </si>
  <si>
    <t>Sprockhövel</t>
  </si>
  <si>
    <t>Wunsch, Mills and Walter Pharm</t>
  </si>
  <si>
    <t>Kempen</t>
  </si>
  <si>
    <t>Miller-Satterfield Pharmaceutical Limited</t>
  </si>
  <si>
    <t>Bad Kissingen</t>
  </si>
  <si>
    <t>Kozey Ltd Pharmacy</t>
  </si>
  <si>
    <t>Stralsund</t>
  </si>
  <si>
    <t>Will and Sons Pharmacy</t>
  </si>
  <si>
    <t>Suhl</t>
  </si>
  <si>
    <t>Cassin PLC Pharmaceutical Limited</t>
  </si>
  <si>
    <t>Weißenfels</t>
  </si>
  <si>
    <t xml:space="preserve">Reynolds, Jast and Mante </t>
  </si>
  <si>
    <t>Achern</t>
  </si>
  <si>
    <t>Schulist LLC Pharmaceutical Limited</t>
  </si>
  <si>
    <t>Neustadt am Rübenberge</t>
  </si>
  <si>
    <t>Kihn Group Pharmaceutical Limited</t>
  </si>
  <si>
    <t>Norderstedt</t>
  </si>
  <si>
    <t>Fahey-Flatley Pharmaceutical Ltd</t>
  </si>
  <si>
    <t>Uelzen</t>
  </si>
  <si>
    <t>Doyle-Tillman Pharmaceutical Limited</t>
  </si>
  <si>
    <t>Zirndorf</t>
  </si>
  <si>
    <t>Graham and Sons Pharm</t>
  </si>
  <si>
    <t>Germering</t>
  </si>
  <si>
    <t>Raynor LLC Pharm</t>
  </si>
  <si>
    <t>Hilden</t>
  </si>
  <si>
    <t xml:space="preserve">Spinka, Schowalter and Conn </t>
  </si>
  <si>
    <t>Bergheim</t>
  </si>
  <si>
    <t>Rowe PLC Pharm</t>
  </si>
  <si>
    <t>Verl</t>
  </si>
  <si>
    <t>Watsica-Kovacek Pharmaceutical Ltd</t>
  </si>
  <si>
    <t>Leimen</t>
  </si>
  <si>
    <t>Quigley-Heathcote Pharm</t>
  </si>
  <si>
    <t>Witten</t>
  </si>
  <si>
    <t>Watsica-Kovacek Pharmacy</t>
  </si>
  <si>
    <t>Hameln</t>
  </si>
  <si>
    <t>Parisian, Hagenes and Skiles Pharm</t>
  </si>
  <si>
    <t>Greiz</t>
  </si>
  <si>
    <t xml:space="preserve">Block-Romaguera </t>
  </si>
  <si>
    <t>Remscheid</t>
  </si>
  <si>
    <t>Okuneva-Corkery Pharm</t>
  </si>
  <si>
    <t>Groß-Gerau</t>
  </si>
  <si>
    <t>Runte-Marquardt Pharmacy</t>
  </si>
  <si>
    <t>Idstein</t>
  </si>
  <si>
    <t>Rohan and Sons Pharma Plc</t>
  </si>
  <si>
    <t>Prenzlau</t>
  </si>
  <si>
    <t>Murray PLC Pharma Plc</t>
  </si>
  <si>
    <t>Reinbek</t>
  </si>
  <si>
    <t>Romaguera, Moen and Hagenes Pharm</t>
  </si>
  <si>
    <t>Unterschleißheim</t>
  </si>
  <si>
    <t>Romaguera-Fay Pharmaceutical Ltd</t>
  </si>
  <si>
    <t>Langen</t>
  </si>
  <si>
    <t>Kohler-Bednar Pharmaceutical Ltd</t>
  </si>
  <si>
    <t>Lübeck</t>
  </si>
  <si>
    <t xml:space="preserve">Hane Ltd </t>
  </si>
  <si>
    <t>Nürtingen</t>
  </si>
  <si>
    <t>Reilly Ltd Pharma Plc</t>
  </si>
  <si>
    <t>Königsbrunn</t>
  </si>
  <si>
    <t>Steuber, Skiles and Kilback Pharmacy</t>
  </si>
  <si>
    <t>Datteln</t>
  </si>
  <si>
    <t>Walsh-Brown Pharmaceutical Ltd</t>
  </si>
  <si>
    <t>Bernburg</t>
  </si>
  <si>
    <t>Crona PLC Pharmaceutical Ltd</t>
  </si>
  <si>
    <t>Schloß Holte-Stukenbrock</t>
  </si>
  <si>
    <t>Dach Ltd Pharma Plc</t>
  </si>
  <si>
    <t>Karlsruhe</t>
  </si>
  <si>
    <t>Herman, Rice and Rippin Pharm</t>
  </si>
  <si>
    <t>Annaberg-Buchholz</t>
  </si>
  <si>
    <t>Vandervort LLC Pharmaceutical Ltd</t>
  </si>
  <si>
    <t>Rottweil</t>
  </si>
  <si>
    <t>Roob PLC Pharm</t>
  </si>
  <si>
    <t>Weiterstadt</t>
  </si>
  <si>
    <t>Purdy Ltd Pharm</t>
  </si>
  <si>
    <t>Korbach</t>
  </si>
  <si>
    <t xml:space="preserve">Botsford and Sons </t>
  </si>
  <si>
    <t>Marl</t>
  </si>
  <si>
    <t>Koss Ltd Pharmaceutical Ltd</t>
  </si>
  <si>
    <t>Löhne</t>
  </si>
  <si>
    <t xml:space="preserve">Abernathy and Sons </t>
  </si>
  <si>
    <t>Freiburg im Breisgau</t>
  </si>
  <si>
    <t xml:space="preserve">Hirthe, Williamson and Macejkovic </t>
  </si>
  <si>
    <t>Schwandorf</t>
  </si>
  <si>
    <t>Lemke Ltd Pharma Plc</t>
  </si>
  <si>
    <t>Leverkusen</t>
  </si>
  <si>
    <t>Ward Group Pharma Plc</t>
  </si>
  <si>
    <t>Barsinghausen</t>
  </si>
  <si>
    <t>Heller-Abernathy Pharmaceutical Limited</t>
  </si>
  <si>
    <t>Siegburg</t>
  </si>
  <si>
    <t xml:space="preserve">Kozey-Emmerich </t>
  </si>
  <si>
    <t>Würselen</t>
  </si>
  <si>
    <t>Reynolds, Jast and Mante Pharm</t>
  </si>
  <si>
    <t>Elmshorn</t>
  </si>
  <si>
    <t>Leffler-Russel Pharmaceutical Ltd</t>
  </si>
  <si>
    <t>Lingen</t>
  </si>
  <si>
    <t>Kutch-Marks Pharmaceutical Limited</t>
  </si>
  <si>
    <t>Kreuztal</t>
  </si>
  <si>
    <t>Sanford, Franecki and Greenholt Pharmaceutical Ltd</t>
  </si>
  <si>
    <t>Rheine</t>
  </si>
  <si>
    <t>White Inc Pharm</t>
  </si>
  <si>
    <t>Ehingen an der Donau</t>
  </si>
  <si>
    <t>Emard-O'Connell Pharmaceutical Ltd</t>
  </si>
  <si>
    <t>Kevelaer</t>
  </si>
  <si>
    <t>Hayes-Kilback Pharma Plc</t>
  </si>
  <si>
    <t>Arnsberg</t>
  </si>
  <si>
    <t>Bashirian-Kassulke Pharmacy</t>
  </si>
  <si>
    <t>Kamp-Lintfort</t>
  </si>
  <si>
    <t>Armstrong, Medhurst and Bogisich Pharmaceutical Ltd</t>
  </si>
  <si>
    <t>Waldshut-Tiengen</t>
  </si>
  <si>
    <t>Kreiger Inc Pharm</t>
  </si>
  <si>
    <t>Salzgitter</t>
  </si>
  <si>
    <t>Herman-Koss Pharmaceutical Limited</t>
  </si>
  <si>
    <t>Mosbach</t>
  </si>
  <si>
    <t>Kris LLC Pharm</t>
  </si>
  <si>
    <t>Zeitz</t>
  </si>
  <si>
    <t>Koelpin, Luettgen and Abernathy Pharmaceutical Ltd</t>
  </si>
  <si>
    <t>Mörfelden-Walldorf</t>
  </si>
  <si>
    <t>Buckridge Inc Pharmaceutical Limited</t>
  </si>
  <si>
    <t>Senftenberg</t>
  </si>
  <si>
    <t>Medhurst-Beer Pharmaceutical Limited</t>
  </si>
  <si>
    <t>Poland</t>
  </si>
  <si>
    <t>Rybnik</t>
  </si>
  <si>
    <t>Dormants a Faible Valeur</t>
  </si>
  <si>
    <t xml:space="preserve">Stanton-Cole </t>
  </si>
  <si>
    <t>Skierniewice</t>
  </si>
  <si>
    <t>Marquardt-Ryan Pharmaceutical Ltd</t>
  </si>
  <si>
    <t>Węgorzewo</t>
  </si>
  <si>
    <t>Kuphal, D'Amore and Bode Pharmaceutical Ltd</t>
  </si>
  <si>
    <t>Szczecin</t>
  </si>
  <si>
    <t>Nolan, DuBuque and Schultz Pharm</t>
  </si>
  <si>
    <t>Wałbrzych</t>
  </si>
  <si>
    <t>Botsford PLC Pharmacy</t>
  </si>
  <si>
    <t>Pabianice</t>
  </si>
  <si>
    <t>Romaguera-Fay Pharmaceutical Limited</t>
  </si>
  <si>
    <t>Trzemeszno</t>
  </si>
  <si>
    <t>Beier PLC Pharmacy</t>
  </si>
  <si>
    <t>Włocławek</t>
  </si>
  <si>
    <t>Kutch-Marks Pharm</t>
  </si>
  <si>
    <t>Chełm</t>
  </si>
  <si>
    <t>Lesch PLC Pharmacy</t>
  </si>
  <si>
    <t>Wrocław</t>
  </si>
  <si>
    <t>Johnson, Friesen and Torphy Pharma Plc</t>
  </si>
  <si>
    <t>Gryfino</t>
  </si>
  <si>
    <t>Lebsack, Yost and Heller Pharmaceutical Limited</t>
  </si>
  <si>
    <t>Wieliczka</t>
  </si>
  <si>
    <t xml:space="preserve">Barrows Inc </t>
  </si>
  <si>
    <t>Hajnówka</t>
  </si>
  <si>
    <t xml:space="preserve">Fadel-West </t>
  </si>
  <si>
    <t>Złotoryja</t>
  </si>
  <si>
    <t>Erdman PLC Pharmacy</t>
  </si>
  <si>
    <t>Ozimek</t>
  </si>
  <si>
    <t>Funk and Sons Pharmaceutical Limited</t>
  </si>
  <si>
    <t>Tarnobrzeg</t>
  </si>
  <si>
    <t>Waelchi LLC Pharmacy</t>
  </si>
  <si>
    <t>Katowice</t>
  </si>
  <si>
    <t>Runte-Marquardt Pharmaceutical Ltd</t>
  </si>
  <si>
    <t>Olecko</t>
  </si>
  <si>
    <t>Gerhold, Mills and Effertz Pharm</t>
  </si>
  <si>
    <t>Głubczyce</t>
  </si>
  <si>
    <t>Crona Group Pharma Plc</t>
  </si>
  <si>
    <t>Kwidzyn</t>
  </si>
  <si>
    <t>Zemlak-Witting Pharmacy</t>
  </si>
  <si>
    <t>Międzyrzecz</t>
  </si>
  <si>
    <t>Bosco-Marquardt Pharm</t>
  </si>
  <si>
    <t>Lębork</t>
  </si>
  <si>
    <t>Romaguera, Moen and Hagenes Pharmaceutical Limited</t>
  </si>
  <si>
    <t>Sopot</t>
  </si>
  <si>
    <t>Lesch PLC Pharmaceutical Ltd</t>
  </si>
  <si>
    <t>Głuszyca</t>
  </si>
  <si>
    <t>Prohaska-Kuhic Pharmacy</t>
  </si>
  <si>
    <t>Wisła</t>
  </si>
  <si>
    <t>Miller-Satterfield Pharma Plc</t>
  </si>
  <si>
    <t>Nidzica</t>
  </si>
  <si>
    <t>Haley PLC Pharmaceutical Limited</t>
  </si>
  <si>
    <t>Opole</t>
  </si>
  <si>
    <t xml:space="preserve">Sanford, Franecki and Greenholt </t>
  </si>
  <si>
    <t>Nowa Sól</t>
  </si>
  <si>
    <t>Cassin PLC Pharmacy</t>
  </si>
  <si>
    <t>Miastko</t>
  </si>
  <si>
    <t>Runolfsson, Swaniawski and Jaskolski Pharmacy</t>
  </si>
  <si>
    <t>Sieradz</t>
  </si>
  <si>
    <t>Heathcote, Grant and Witting Pharm</t>
  </si>
  <si>
    <t>Bielsko-Biała</t>
  </si>
  <si>
    <t>Yundt, Leuschke and Ward Pharmaceutical Ltd</t>
  </si>
  <si>
    <t>Żychlin</t>
  </si>
  <si>
    <t>Schaefer Group Pharmaceutical Limited</t>
  </si>
  <si>
    <t>Ustroń</t>
  </si>
  <si>
    <t>Fritsch-Hauck Pharma Plc</t>
  </si>
  <si>
    <t>Mysłowice</t>
  </si>
  <si>
    <t>Sauer and Sons Pharmaceutical Limited</t>
  </si>
  <si>
    <t>Brzozów</t>
  </si>
  <si>
    <t>Upton, Abernathy and Goodwin Pharmaceutical Ltd</t>
  </si>
  <si>
    <t>Jarosław</t>
  </si>
  <si>
    <t>Beer, Kohler and Beatty Pharmaceutical Ltd</t>
  </si>
  <si>
    <t>Rypin</t>
  </si>
  <si>
    <t xml:space="preserve">Lockman Ltd </t>
  </si>
  <si>
    <t>Połaniec</t>
  </si>
  <si>
    <t>Parisian, Hagenes and Skiles Pharma Plc</t>
  </si>
  <si>
    <t>Ciechocinek</t>
  </si>
  <si>
    <t>Senger-Kirlin Pharmacy</t>
  </si>
  <si>
    <t>Kobyłka</t>
  </si>
  <si>
    <t xml:space="preserve">Buckridge-Davis </t>
  </si>
  <si>
    <t>Legnica</t>
  </si>
  <si>
    <t xml:space="preserve">Rosenbaum, Klein and Herzog </t>
  </si>
  <si>
    <t>Zbąszyń</t>
  </si>
  <si>
    <t>Gottlieb-Cruickshank Pharma Plc</t>
  </si>
  <si>
    <t>Brzeszcze</t>
  </si>
  <si>
    <t>Lockman-Welch Pharm</t>
  </si>
  <si>
    <t>Bytom</t>
  </si>
  <si>
    <t>Paucek, Keeling and Bruen Pharm</t>
  </si>
  <si>
    <t>Łęczna</t>
  </si>
  <si>
    <t>Veum-Kerluke Pharmacy</t>
  </si>
  <si>
    <t>Człuchów</t>
  </si>
  <si>
    <t>Kertzmann, Quitzon and Harris Pharma Plc</t>
  </si>
  <si>
    <t>Reszel</t>
  </si>
  <si>
    <t>Balistreri, Torp and Gulgowski Pharmacy</t>
  </si>
  <si>
    <t>Chełmża</t>
  </si>
  <si>
    <t>Barton Ltd Pharma Plc</t>
  </si>
  <si>
    <t>Czeladź</t>
  </si>
  <si>
    <t xml:space="preserve">Koch, Borer and Hagenes </t>
  </si>
  <si>
    <t>Kościan</t>
  </si>
  <si>
    <t xml:space="preserve">Wunsch, Mills and Walter </t>
  </si>
  <si>
    <t>Kielce</t>
  </si>
  <si>
    <t>Casper, Hyatt and Jakubowski Pharmaceutical Limited</t>
  </si>
  <si>
    <t>Otwock</t>
  </si>
  <si>
    <t>Hirthe, Williamson and Macejkovic Pharma Plc</t>
  </si>
  <si>
    <t>Brzeg</t>
  </si>
  <si>
    <t>Mann-Waelchi Pharm</t>
  </si>
  <si>
    <t>Piotrków Trybunalski</t>
  </si>
  <si>
    <t>Schulist-Zulauf Pharm</t>
  </si>
  <si>
    <t>Tychy</t>
  </si>
  <si>
    <t xml:space="preserve">Zieme, Doyle and Kunze </t>
  </si>
  <si>
    <t>Lublin</t>
  </si>
  <si>
    <t>Buckridge-Strosin Pharmaceutical Limited</t>
  </si>
  <si>
    <t>Pruszków</t>
  </si>
  <si>
    <t>Hermiston and Sons Pharma Plc</t>
  </si>
  <si>
    <t>Bochnia</t>
  </si>
  <si>
    <t>Wolff Group Pharm</t>
  </si>
  <si>
    <t>Gubin</t>
  </si>
  <si>
    <t>Feest-Roob Pharmaceutical Ltd</t>
  </si>
  <si>
    <t>Wolsztyn</t>
  </si>
  <si>
    <t xml:space="preserve">Kozey-Schroeder </t>
  </si>
  <si>
    <t>Jawor</t>
  </si>
  <si>
    <t>Schinner, Gaylord and Treutel Pharmaceutical Ltd</t>
  </si>
  <si>
    <t>Dąbrowa Górnicza</t>
  </si>
  <si>
    <t>Graham and Sons Pharmacy</t>
  </si>
  <si>
    <t>Warka</t>
  </si>
  <si>
    <t>Steuber Ltd Pharmacy</t>
  </si>
  <si>
    <t>Ostrołęka</t>
  </si>
  <si>
    <t xml:space="preserve">Welch-Langworth </t>
  </si>
  <si>
    <t>Warsaw</t>
  </si>
  <si>
    <t>Yundt-Crona Pharmaceutical Ltd</t>
  </si>
  <si>
    <t>Siemiatycze</t>
  </si>
  <si>
    <t xml:space="preserve">D'Amore and Sons </t>
  </si>
  <si>
    <t>Wągrowiec</t>
  </si>
  <si>
    <t xml:space="preserve">Schaefer-Rolfson </t>
  </si>
  <si>
    <t>Niepołomice</t>
  </si>
  <si>
    <t>Pfannerstill Group Pharmaceutical Ltd</t>
  </si>
  <si>
    <t>Jelcz-Laskowice</t>
  </si>
  <si>
    <t>Raynor-Graham Pharmaceutical Limited</t>
  </si>
  <si>
    <t>Gorzów Wielkopolski</t>
  </si>
  <si>
    <t>Schaefer LLC Pharmacy</t>
  </si>
  <si>
    <t>Kamień Pomorski</t>
  </si>
  <si>
    <t>Buckridge, Dach and Carroll Pharmaceutical Limited</t>
  </si>
  <si>
    <t>Luboń</t>
  </si>
  <si>
    <t xml:space="preserve">Monahan Ltd </t>
  </si>
  <si>
    <t>Oświęcim</t>
  </si>
  <si>
    <t>Reynolds, Jast and Mante Pharma Plc</t>
  </si>
  <si>
    <t>Pleszew</t>
  </si>
  <si>
    <t>Leannon-West Pharmacy</t>
  </si>
  <si>
    <t>Cieszyn</t>
  </si>
  <si>
    <t>Will and Sons Pharma Plc</t>
  </si>
  <si>
    <t>Gniew</t>
  </si>
  <si>
    <t>McClure, Zemlak and Dibbert Pharmaceutical Limited</t>
  </si>
  <si>
    <t>Kórnik</t>
  </si>
  <si>
    <t>Rohan PLC Pharmaceutical Limited</t>
  </si>
  <si>
    <t>Krynica</t>
  </si>
  <si>
    <t>Moore PLC Pharmaceutical Ltd</t>
  </si>
  <si>
    <t>Łomża</t>
  </si>
  <si>
    <t>Bogan, Jacobs and Kris Pharmacy</t>
  </si>
  <si>
    <t>Lubartów</t>
  </si>
  <si>
    <t>Hills, Stroman and Ernser Pharm</t>
  </si>
  <si>
    <t>Pułtusk</t>
  </si>
  <si>
    <t>Kuhic LLC Pharma Plc</t>
  </si>
  <si>
    <t>Oborniki</t>
  </si>
  <si>
    <t>Stehr-Champlin Pharmaceutical Limited</t>
  </si>
  <si>
    <t>Nowe Miasto Lubawskie</t>
  </si>
  <si>
    <t>Beahan, Littel and Ondricka Pharmacy</t>
  </si>
  <si>
    <t>Łęczyca</t>
  </si>
  <si>
    <t>Denesik-Hintz Pharm</t>
  </si>
  <si>
    <t>Międzyrzec Podlaski</t>
  </si>
  <si>
    <t>Schmitt, Berge and Haley Pharma Plc</t>
  </si>
  <si>
    <t>Kłodzko</t>
  </si>
  <si>
    <t>Leffler-Russel Pharm</t>
  </si>
  <si>
    <t>Konstancin-Jeziorna</t>
  </si>
  <si>
    <t>Schimmel-Waelchi Pharmaceutical Ltd</t>
  </si>
  <si>
    <t>Grodzisk Mazowiecki</t>
  </si>
  <si>
    <t>Hahn, Rutherford and Gislason Pharmaceutical Limited</t>
  </si>
  <si>
    <t>Łaziska Górne</t>
  </si>
  <si>
    <t>Lemke Ltd Pharm</t>
  </si>
  <si>
    <t>Tarnów</t>
  </si>
  <si>
    <t>Koch-Osinski Pharm</t>
  </si>
  <si>
    <t>Sandomierz</t>
  </si>
  <si>
    <t>Bayer LLC Pharmaceutical Ltd</t>
  </si>
  <si>
    <t>Bytów</t>
  </si>
  <si>
    <t>Rogahn-Klein Pharmacy</t>
  </si>
  <si>
    <t>Koronowo</t>
  </si>
  <si>
    <t>Rowe PLC Pharmaceutical Ltd</t>
  </si>
  <si>
    <t>Kęty</t>
  </si>
  <si>
    <t xml:space="preserve">Herman, Rice and Rippin </t>
  </si>
  <si>
    <t>Ziębice</t>
  </si>
  <si>
    <t>Mraz-Kutch Pharm</t>
  </si>
  <si>
    <t>Bieruń Stary</t>
  </si>
  <si>
    <t>West Group Pharmacy</t>
  </si>
  <si>
    <t>Kluczbork</t>
  </si>
  <si>
    <t>Grimes, Jacobs and Durgan Pharm</t>
  </si>
  <si>
    <t>Bełchatów</t>
  </si>
  <si>
    <t xml:space="preserve">Walter Ltd </t>
  </si>
  <si>
    <t>Kętrzyn</t>
  </si>
  <si>
    <t>Zemlak Group Pharmaceutical Limited</t>
  </si>
  <si>
    <t>Koszalin</t>
  </si>
  <si>
    <t>Hansen, Fadel and Schroeder Pharm</t>
  </si>
  <si>
    <t>Gniezno</t>
  </si>
  <si>
    <t>Greenholt, Donnelly and O'Reilly Pharmaceutical Limited</t>
  </si>
  <si>
    <t>Rumia</t>
  </si>
  <si>
    <t>Haag, Bradtke and Terry Pharmacy</t>
  </si>
  <si>
    <t>Biała Podlaska</t>
  </si>
  <si>
    <t xml:space="preserve">Hartmann-Wolf </t>
  </si>
  <si>
    <t>Trzebnica</t>
  </si>
  <si>
    <t xml:space="preserve">Okuneva-Corkery </t>
  </si>
  <si>
    <t>Kostrzyn nad Odrą</t>
  </si>
  <si>
    <t>Abernathy Group Pharmaceutical Limited</t>
  </si>
  <si>
    <t>Brzesko</t>
  </si>
  <si>
    <t>Crona PLC Pharma Plc</t>
  </si>
  <si>
    <t>Białogard</t>
  </si>
  <si>
    <t xml:space="preserve">Feest PLC </t>
  </si>
  <si>
    <t>Świecie</t>
  </si>
  <si>
    <t>Bashirian-Kassulke Pharma Plc</t>
  </si>
  <si>
    <t>Kraków</t>
  </si>
  <si>
    <t xml:space="preserve">Bartoletti-Altenwerth </t>
  </si>
  <si>
    <t>Police</t>
  </si>
  <si>
    <t>Harris, Daugherty and Okuneva Pharma Plc</t>
  </si>
  <si>
    <t>Krotoszyn</t>
  </si>
  <si>
    <t>Wiegand, Jast and Yost Pharma Plc</t>
  </si>
  <si>
    <t>Płock</t>
  </si>
  <si>
    <t>Brakus, Rempel and Harber Pharma Plc</t>
  </si>
  <si>
    <t>Nowy Targ</t>
  </si>
  <si>
    <t>Pfeffer-Hodkiewicz Pharmaceutical Ltd</t>
  </si>
  <si>
    <t>Szczytno</t>
  </si>
  <si>
    <t>Doyle-Tillman Pharmaceutical Ltd</t>
  </si>
  <si>
    <t>Dęblin</t>
  </si>
  <si>
    <t>Dormants a Haut Potentiel (Win-back prioritaire)</t>
  </si>
  <si>
    <t>Kreiger Inc Pharma Plc</t>
  </si>
  <si>
    <t>Mielec</t>
  </si>
  <si>
    <t>Carter-Conn Pharma Plc</t>
  </si>
  <si>
    <t>Brwinów</t>
  </si>
  <si>
    <t>Boyer and Sons Pharmaceutical Limited</t>
  </si>
  <si>
    <t>Wałcz</t>
  </si>
  <si>
    <t>Koss Ltd Pharmaceutical Limited</t>
  </si>
  <si>
    <t>Lwówek Śląski</t>
  </si>
  <si>
    <t>Nader-Gaylord Pharmaceutical Ltd</t>
  </si>
  <si>
    <t>Łódź</t>
  </si>
  <si>
    <t>Balistreri-Watsica Pharmacy</t>
  </si>
  <si>
    <t>Ełk</t>
  </si>
  <si>
    <t>Purdy Ltd Pharmaceutical Limited</t>
  </si>
  <si>
    <t>Głuchołazy</t>
  </si>
  <si>
    <t>Streich PLC Pharmaceutical Limited</t>
  </si>
  <si>
    <t>Przemyśl</t>
  </si>
  <si>
    <t>Feest-Kshlerin Pharmaceutical Ltd</t>
  </si>
  <si>
    <t>Świdnik</t>
  </si>
  <si>
    <t>Nitzsche, Effertz and Maggio Pharmacy</t>
  </si>
  <si>
    <t>Malbork</t>
  </si>
  <si>
    <t xml:space="preserve">Crist Inc </t>
  </si>
  <si>
    <t>Stary Sącz</t>
  </si>
  <si>
    <t>Leuschke PLC Pharmacy</t>
  </si>
  <si>
    <t>Ciechanów</t>
  </si>
  <si>
    <t>Nader-Borer Pharma Plc</t>
  </si>
  <si>
    <t>Bielawa</t>
  </si>
  <si>
    <t>Kilback, Beer and Batz Pharma Plc</t>
  </si>
  <si>
    <t>Kutno</t>
  </si>
  <si>
    <t xml:space="preserve">Blick, Pacocha and Schowalter </t>
  </si>
  <si>
    <t>Inowrocław</t>
  </si>
  <si>
    <t>Ward Group Pharmaceutical Limited</t>
  </si>
  <si>
    <t>Zabrze</t>
  </si>
  <si>
    <t>Jakubowski Inc Pharmaceutical Limited</t>
  </si>
  <si>
    <t>Bolesławiec</t>
  </si>
  <si>
    <t>Balistreri Group Pharmaceutical Ltd</t>
  </si>
  <si>
    <t>Prudnik</t>
  </si>
  <si>
    <t xml:space="preserve">Ondricka, Rosenbaum and Beahan </t>
  </si>
  <si>
    <t>Starogard Gdański</t>
  </si>
  <si>
    <t>Crist, Wisoky and Nolan Pharmaceutical Ltd</t>
  </si>
  <si>
    <t>Toruń</t>
  </si>
  <si>
    <t xml:space="preserve">Moen, Murazik and Smith </t>
  </si>
  <si>
    <t>Siedlce</t>
  </si>
  <si>
    <t>Ondricka Ltd Pharmacy</t>
  </si>
  <si>
    <t>Świnoujście</t>
  </si>
  <si>
    <t>Lindgren-Simonis Pharm</t>
  </si>
  <si>
    <t>Biskupiec</t>
  </si>
  <si>
    <t>Daugherty-Rempel Pharma Plc</t>
  </si>
  <si>
    <t>Bełżyce</t>
  </si>
  <si>
    <t>Buckridge, Hand and Hyatt Pharma Plc</t>
  </si>
  <si>
    <t>Zgorzelec</t>
  </si>
  <si>
    <t>Keeling LLC Pharmacy</t>
  </si>
  <si>
    <t>Olsztyn</t>
  </si>
  <si>
    <t>Walsh-Brown Pharmacy</t>
  </si>
  <si>
    <t>Chorzów</t>
  </si>
  <si>
    <t>Cormier, Dietrich and Zulauf Pharma Plc</t>
  </si>
  <si>
    <t>Puławy</t>
  </si>
  <si>
    <t>Schowalter, Runolfsson and VonRueden Pharmaceutical Ltd</t>
  </si>
  <si>
    <t>Grudziądz</t>
  </si>
  <si>
    <t xml:space="preserve">Rutherford and Sons </t>
  </si>
  <si>
    <t>Gdynia</t>
  </si>
  <si>
    <t>Towne, Cummerata and Blanda Pharm</t>
  </si>
  <si>
    <t>Kalisz</t>
  </si>
  <si>
    <t>Ritchie-Rodriguez Pharm</t>
  </si>
  <si>
    <t>Łuków</t>
  </si>
  <si>
    <t>Botsford and Sons Pharmaceutical Ltd</t>
  </si>
  <si>
    <t>Kołobrzeg</t>
  </si>
  <si>
    <t xml:space="preserve">Heller-Abernathy </t>
  </si>
  <si>
    <t>Brzeg Dolny</t>
  </si>
  <si>
    <t xml:space="preserve">Roob PLC </t>
  </si>
  <si>
    <t>Świedbodzin</t>
  </si>
  <si>
    <t xml:space="preserve">Welch-Orn </t>
  </si>
  <si>
    <t>Chełmno</t>
  </si>
  <si>
    <t>Bernier, Murphy and Rau Pharmaceutical Ltd</t>
  </si>
  <si>
    <t>Ruda Śląska</t>
  </si>
  <si>
    <t>Erdman, Senger and Oberbrunner Pharm</t>
  </si>
  <si>
    <t>Rawa Mazowiecka</t>
  </si>
  <si>
    <t>Roob, Ernser and Kub Pharmaceutical Limited</t>
  </si>
  <si>
    <t>Suwałki</t>
  </si>
  <si>
    <t>Funk PLC Pharmaceutical Limited</t>
  </si>
  <si>
    <t>Mikołów</t>
  </si>
  <si>
    <t>Vandervort LLC Pharma Plc</t>
  </si>
  <si>
    <t>Łańcut</t>
  </si>
  <si>
    <t>Steuber, Skiles and Kilback Pharma Plc</t>
  </si>
  <si>
    <t>Sosnowiec</t>
  </si>
  <si>
    <t>Wintheiser, Breitenberg and Gottlieb Pharmaceutical Limited</t>
  </si>
  <si>
    <t>Milanówek</t>
  </si>
  <si>
    <t>Mills Inc Pharma Plc</t>
  </si>
  <si>
    <t>Bydgoszcz</t>
  </si>
  <si>
    <t>Torp-Fisher Pharma Plc</t>
  </si>
  <si>
    <t>Gorlice</t>
  </si>
  <si>
    <t>Leuschke, Waters and Schowalter Pharmaceutical Ltd</t>
  </si>
  <si>
    <t>Krapkowice</t>
  </si>
  <si>
    <t>Powlowski-Buckridge Pharma Plc</t>
  </si>
  <si>
    <t>Ustka</t>
  </si>
  <si>
    <t>Kling Inc Pharmaceutical Ltd</t>
  </si>
  <si>
    <t>Ostrowiec Świętokrzyski</t>
  </si>
  <si>
    <t>Hayes-Kilback Pharmaceutical Ltd</t>
  </si>
  <si>
    <t>Żary</t>
  </si>
  <si>
    <t>Kozey Ltd Pharmaceutical Ltd</t>
  </si>
  <si>
    <t>Bielsk Podlaski</t>
  </si>
  <si>
    <t xml:space="preserve">Rohan Inc </t>
  </si>
  <si>
    <t>Chojnów</t>
  </si>
  <si>
    <t>Mraz Group Pharmacy</t>
  </si>
  <si>
    <t>Piastów</t>
  </si>
  <si>
    <t>Funk, Ratke and Heaney Pharmacy</t>
  </si>
  <si>
    <t>Prabuty</t>
  </si>
  <si>
    <t>Osinski-Collins Pharmaceutical Ltd</t>
  </si>
  <si>
    <t>Elbląg</t>
  </si>
  <si>
    <t>Gibson-Hill Pharma Plc</t>
  </si>
  <si>
    <t>Chrzanów</t>
  </si>
  <si>
    <t>Heidenreich Group Pharmaceutical Ltd</t>
  </si>
  <si>
    <t>Rzeszów</t>
  </si>
  <si>
    <t>Spencer-Jerde Pharmacy</t>
  </si>
  <si>
    <t>Przeworsk</t>
  </si>
  <si>
    <t>Will and Sons Pharmaceutical Limited</t>
  </si>
  <si>
    <t>Poznań</t>
  </si>
  <si>
    <t>Trantow LLC Pharma Plc</t>
  </si>
  <si>
    <t>Braniewo</t>
  </si>
  <si>
    <t>Spinka, Schowalter and Conn Pharmaceutical Limited</t>
  </si>
  <si>
    <t>Biłgoraj</t>
  </si>
  <si>
    <t>Nader-Gaylord Pharmaceutical Limited</t>
  </si>
  <si>
    <t>Sobótka</t>
  </si>
  <si>
    <t>Emard-O'Connell Pharmacy</t>
  </si>
  <si>
    <t>Zakopane</t>
  </si>
  <si>
    <t>Jast-Cruickshank Pharma Plc</t>
  </si>
  <si>
    <t>Białystok</t>
  </si>
  <si>
    <t>Breitenberg-Kuhn Pharmacy</t>
  </si>
  <si>
    <t>Radom</t>
  </si>
  <si>
    <t>Hansen Group Pharm</t>
  </si>
  <si>
    <t>Gryfów Śląski</t>
  </si>
  <si>
    <t xml:space="preserve">Reilly Ltd </t>
  </si>
  <si>
    <t>Mława</t>
  </si>
  <si>
    <t>Block-Romaguera Pharmaceutical Limited</t>
  </si>
  <si>
    <t>Tarnowskie Góry</t>
  </si>
  <si>
    <t>Kub, Von and Herzog Pharmacy</t>
  </si>
  <si>
    <t>Wschowa</t>
  </si>
  <si>
    <t xml:space="preserve">Koss-Beier </t>
  </si>
  <si>
    <t>Nakło nad Notecią</t>
  </si>
  <si>
    <t>Mante-Grady Pharm</t>
  </si>
  <si>
    <t>Lubaczów</t>
  </si>
  <si>
    <t>McClure, Zemlak and Dibbert Pharma Plc</t>
  </si>
  <si>
    <t>Gdańsk</t>
  </si>
  <si>
    <t xml:space="preserve">Hermiston LLC </t>
  </si>
  <si>
    <t>Strzegom</t>
  </si>
  <si>
    <t>Kunze PLC Pharm</t>
  </si>
  <si>
    <t>Darłowo</t>
  </si>
  <si>
    <t>Kertzmann-Ward Pharma Plc</t>
  </si>
  <si>
    <t>Opoczno</t>
  </si>
  <si>
    <t>Denesik, Walter and Beatty Pharma Plc</t>
  </si>
  <si>
    <t>Ostrów Mazowiecka</t>
  </si>
  <si>
    <t xml:space="preserve">Hill Ltd </t>
  </si>
  <si>
    <t>Gliwice</t>
  </si>
  <si>
    <t>Effertz, Heaney and Tillman Pharmaceutical Ltd</t>
  </si>
  <si>
    <t>Jaworzno</t>
  </si>
  <si>
    <t>Herman-Koss Pharm</t>
  </si>
  <si>
    <t>Lubsko</t>
  </si>
  <si>
    <t>McCullough LLC Pharma Plc</t>
  </si>
  <si>
    <t>Częstochowa</t>
  </si>
  <si>
    <t>Parisian Ltd Pharm</t>
  </si>
  <si>
    <t>Jelenia Góra</t>
  </si>
  <si>
    <t>Schaden-Hirthe Pharmaceutical Ltd</t>
  </si>
  <si>
    <t>Świdnica</t>
  </si>
  <si>
    <t>Schmitt LLC Pharm</t>
  </si>
  <si>
    <t>Nysa</t>
  </si>
  <si>
    <t xml:space="preserve">Gerlach LLC </t>
  </si>
  <si>
    <t>Krzeszowice</t>
  </si>
  <si>
    <t>Gleichner, Bahringer and Morar Pharma Plc</t>
  </si>
  <si>
    <t>Gostynin</t>
  </si>
  <si>
    <t>Kshlerin, Ryan and Leuschke Pharma Plc</t>
  </si>
  <si>
    <t>Zielona Góra</t>
  </si>
  <si>
    <t>Cluster</t>
  </si>
  <si>
    <t>n</t>
  </si>
  <si>
    <t>IsActive</t>
  </si>
  <si>
    <t>Status</t>
  </si>
  <si>
    <t>SharePctCustomers</t>
  </si>
  <si>
    <t>SharePctRevenue</t>
  </si>
  <si>
    <t>Actifs</t>
  </si>
  <si>
    <t>Dormants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</si>
</sst>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1290</xdr:colOff>
      <xdr:row>20</xdr:row>
      <xdr:rowOff>190440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09552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1290</xdr:colOff>
      <xdr:row>44</xdr:row>
      <xdr:rowOff>190440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4572000"/>
          <a:ext cx="609552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1290</xdr:colOff>
      <xdr:row>68</xdr:row>
      <xdr:rowOff>190440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9144000"/>
          <a:ext cx="609552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10</xdr:col>
      <xdr:colOff>1290</xdr:colOff>
      <xdr:row>92</xdr:row>
      <xdr:rowOff>190440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13716000"/>
          <a:ext cx="609552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10</xdr:col>
      <xdr:colOff>1290</xdr:colOff>
      <xdr:row>116</xdr:row>
      <xdr:rowOff>190440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18288000"/>
          <a:ext cx="6095520" cy="4000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zoomScaleNormal="100" workbookViewId="0">
      <selection activeCell="A8" sqref="A8:XFD8"/>
    </sheetView>
  </sheetViews>
  <sheetFormatPr defaultColWidth="8.7109375" defaultRowHeight="15"/>
  <cols>
    <col min="1" max="1" width="130" customWidth="1"/>
  </cols>
  <sheetData>
    <row r="1" spans="1:1" ht="16.149999999999999">
      <c r="A1" s="1" t="s">
        <v>0</v>
      </c>
    </row>
    <row r="2" spans="1:1" ht="30" customHeight="1">
      <c r="A2" s="2" t="s">
        <v>1</v>
      </c>
    </row>
    <row r="3" spans="1:1" ht="30" customHeight="1">
      <c r="A3" s="2"/>
    </row>
    <row r="4" spans="1:1" ht="30" customHeight="1">
      <c r="A4" s="2" t="s">
        <v>2</v>
      </c>
    </row>
    <row r="5" spans="1:1" ht="30" customHeight="1">
      <c r="A5" s="2"/>
    </row>
    <row r="6" spans="1:1" ht="30" customHeight="1">
      <c r="A6" s="2" t="s">
        <v>3</v>
      </c>
    </row>
    <row r="7" spans="1:1" ht="59.25" customHeight="1">
      <c r="A7" s="2" t="s">
        <v>4</v>
      </c>
    </row>
    <row r="8" spans="1:1" ht="45.75" customHeight="1">
      <c r="A8" s="2" t="s">
        <v>5</v>
      </c>
    </row>
    <row r="9" spans="1:1" ht="30" customHeight="1">
      <c r="A9" s="2"/>
    </row>
    <row r="10" spans="1:1" ht="30" customHeight="1">
      <c r="A10" s="2" t="s">
        <v>6</v>
      </c>
    </row>
    <row r="11" spans="1:1" ht="30" customHeight="1">
      <c r="A11" s="2"/>
    </row>
    <row r="12" spans="1:1" ht="30" customHeight="1">
      <c r="A12" s="2" t="s">
        <v>7</v>
      </c>
    </row>
    <row r="13" spans="1:1" ht="30" customHeight="1">
      <c r="A13" s="2" t="s">
        <v>8</v>
      </c>
    </row>
    <row r="14" spans="1:1" ht="30" customHeight="1">
      <c r="A14" s="2" t="s">
        <v>9</v>
      </c>
    </row>
    <row r="15" spans="1:1" ht="30" customHeight="1">
      <c r="A15" s="2" t="s">
        <v>10</v>
      </c>
    </row>
    <row r="16" spans="1:1" ht="30" customHeight="1">
      <c r="A16" s="2" t="s">
        <v>11</v>
      </c>
    </row>
    <row r="17" spans="1:1" ht="30" customHeight="1">
      <c r="A17" s="2"/>
    </row>
    <row r="18" spans="1:1" ht="30" customHeight="1">
      <c r="A18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2"/>
  <sheetViews>
    <sheetView zoomScaleNormal="100" workbookViewId="0"/>
  </sheetViews>
  <sheetFormatPr defaultColWidth="8.7109375" defaultRowHeight="15"/>
  <cols>
    <col min="1" max="1" width="55" customWidth="1"/>
    <col min="2" max="2" width="10" customWidth="1"/>
    <col min="3" max="3" width="26" customWidth="1"/>
    <col min="4" max="4" width="10" customWidth="1"/>
    <col min="5" max="5" width="13" customWidth="1"/>
    <col min="6" max="6" width="50" customWidth="1"/>
    <col min="7" max="7" width="10" customWidth="1"/>
    <col min="8" max="8" width="11" customWidth="1"/>
    <col min="9" max="9" width="19" customWidth="1"/>
    <col min="10" max="10" width="14" customWidth="1"/>
    <col min="11" max="11" width="19" customWidth="1"/>
    <col min="12" max="12" width="20" customWidth="1"/>
    <col min="13" max="13" width="19" customWidth="1"/>
    <col min="14" max="14" width="23" customWidth="1"/>
    <col min="15" max="15" width="21" customWidth="1"/>
    <col min="16" max="16" width="25" customWidth="1"/>
  </cols>
  <sheetData>
    <row r="1" spans="1:1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</row>
    <row r="2" spans="1:16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>
        <v>1</v>
      </c>
      <c r="H2" s="4">
        <v>371</v>
      </c>
      <c r="I2" s="4">
        <v>20541665</v>
      </c>
      <c r="J2" s="4">
        <v>48</v>
      </c>
      <c r="K2" s="4">
        <v>7.7291666666666696</v>
      </c>
      <c r="L2" s="4">
        <v>427951.35416666698</v>
      </c>
      <c r="M2" s="4">
        <v>55368.3692722372</v>
      </c>
      <c r="N2" s="4" t="s">
        <v>35</v>
      </c>
      <c r="O2" s="4">
        <v>0.32816215238638202</v>
      </c>
      <c r="P2" s="4">
        <v>0.209000587208857</v>
      </c>
    </row>
    <row r="3" spans="1:16">
      <c r="A3" s="4" t="s">
        <v>36</v>
      </c>
      <c r="B3" s="4" t="s">
        <v>30</v>
      </c>
      <c r="C3" s="4" t="s">
        <v>37</v>
      </c>
      <c r="D3" s="4" t="s">
        <v>32</v>
      </c>
      <c r="E3" s="4" t="s">
        <v>33</v>
      </c>
      <c r="F3" s="4" t="s">
        <v>34</v>
      </c>
      <c r="G3" s="4">
        <v>1</v>
      </c>
      <c r="H3" s="4">
        <v>374</v>
      </c>
      <c r="I3" s="4">
        <v>20537571</v>
      </c>
      <c r="J3" s="4">
        <v>48</v>
      </c>
      <c r="K3" s="4">
        <v>7.7916666666666696</v>
      </c>
      <c r="L3" s="4">
        <v>427866.0625</v>
      </c>
      <c r="M3" s="4">
        <v>54913.291443850299</v>
      </c>
      <c r="N3" s="4" t="s">
        <v>38</v>
      </c>
      <c r="O3" s="4">
        <v>0.40323205699447101</v>
      </c>
      <c r="P3" s="4">
        <v>0.29626126694992</v>
      </c>
    </row>
    <row r="4" spans="1:16">
      <c r="A4" s="4" t="s">
        <v>39</v>
      </c>
      <c r="B4" s="4" t="s">
        <v>30</v>
      </c>
      <c r="C4" s="4" t="s">
        <v>40</v>
      </c>
      <c r="D4" s="4" t="s">
        <v>41</v>
      </c>
      <c r="E4" s="4" t="s">
        <v>42</v>
      </c>
      <c r="F4" s="4" t="s">
        <v>34</v>
      </c>
      <c r="G4" s="4">
        <v>1</v>
      </c>
      <c r="H4" s="4">
        <v>376</v>
      </c>
      <c r="I4" s="4">
        <v>20423132</v>
      </c>
      <c r="J4" s="4">
        <v>48</v>
      </c>
      <c r="K4" s="4">
        <v>7.8333333333333304</v>
      </c>
      <c r="L4" s="4">
        <v>425481.91666666698</v>
      </c>
      <c r="M4" s="4">
        <v>54316.840425531896</v>
      </c>
      <c r="N4" s="4" t="s">
        <v>38</v>
      </c>
      <c r="O4" s="4">
        <v>0.229186688897668</v>
      </c>
      <c r="P4" s="4">
        <v>0.187932063284766</v>
      </c>
    </row>
    <row r="5" spans="1:16">
      <c r="A5" s="4" t="s">
        <v>43</v>
      </c>
      <c r="B5" s="4" t="s">
        <v>30</v>
      </c>
      <c r="C5" s="4" t="s">
        <v>44</v>
      </c>
      <c r="D5" s="4" t="s">
        <v>32</v>
      </c>
      <c r="E5" s="4" t="s">
        <v>33</v>
      </c>
      <c r="F5" s="4" t="s">
        <v>34</v>
      </c>
      <c r="G5" s="4">
        <v>1</v>
      </c>
      <c r="H5" s="4">
        <v>371</v>
      </c>
      <c r="I5" s="4">
        <v>20408392</v>
      </c>
      <c r="J5" s="4">
        <v>48</v>
      </c>
      <c r="K5" s="4">
        <v>7.7291666666666696</v>
      </c>
      <c r="L5" s="4">
        <v>425174.83333333302</v>
      </c>
      <c r="M5" s="4">
        <v>55009.142857142899</v>
      </c>
      <c r="N5" s="4" t="s">
        <v>35</v>
      </c>
      <c r="O5" s="4">
        <v>0.30925116491294402</v>
      </c>
      <c r="P5" s="4">
        <v>0.24314723869653199</v>
      </c>
    </row>
    <row r="6" spans="1:16">
      <c r="A6" s="4" t="s">
        <v>45</v>
      </c>
      <c r="B6" s="4" t="s">
        <v>30</v>
      </c>
      <c r="C6" s="4" t="s">
        <v>46</v>
      </c>
      <c r="D6" s="4" t="s">
        <v>41</v>
      </c>
      <c r="E6" s="4" t="s">
        <v>42</v>
      </c>
      <c r="F6" s="4" t="s">
        <v>34</v>
      </c>
      <c r="G6" s="4">
        <v>1</v>
      </c>
      <c r="H6" s="4">
        <v>368</v>
      </c>
      <c r="I6" s="4">
        <v>20236110</v>
      </c>
      <c r="J6" s="4">
        <v>48</v>
      </c>
      <c r="K6" s="4">
        <v>7.6666666666666696</v>
      </c>
      <c r="L6" s="4">
        <v>421585.625</v>
      </c>
      <c r="M6" s="4">
        <v>54989.429347826102</v>
      </c>
      <c r="N6" s="4" t="s">
        <v>47</v>
      </c>
      <c r="O6" s="4">
        <v>0.417424198623154</v>
      </c>
      <c r="P6" s="4">
        <v>0.255719670631888</v>
      </c>
    </row>
    <row r="7" spans="1:16">
      <c r="A7" s="4" t="s">
        <v>48</v>
      </c>
      <c r="B7" s="4" t="s">
        <v>30</v>
      </c>
      <c r="C7" s="4" t="s">
        <v>49</v>
      </c>
      <c r="D7" s="4" t="s">
        <v>41</v>
      </c>
      <c r="E7" s="4" t="s">
        <v>50</v>
      </c>
      <c r="F7" s="4" t="s">
        <v>34</v>
      </c>
      <c r="G7" s="4">
        <v>1</v>
      </c>
      <c r="H7" s="4">
        <v>375</v>
      </c>
      <c r="I7" s="4">
        <v>20195908</v>
      </c>
      <c r="J7" s="4">
        <v>48</v>
      </c>
      <c r="K7" s="4">
        <v>7.8125</v>
      </c>
      <c r="L7" s="4">
        <v>420748.08333333302</v>
      </c>
      <c r="M7" s="4">
        <v>53855.754666666697</v>
      </c>
      <c r="N7" s="4" t="s">
        <v>51</v>
      </c>
      <c r="O7" s="4">
        <v>0.36516422039553798</v>
      </c>
      <c r="P7" s="4">
        <v>0.22794468841857299</v>
      </c>
    </row>
    <row r="8" spans="1:16">
      <c r="A8" s="4" t="s">
        <v>52</v>
      </c>
      <c r="B8" s="4" t="s">
        <v>30</v>
      </c>
      <c r="C8" s="4" t="s">
        <v>53</v>
      </c>
      <c r="D8" s="4" t="s">
        <v>41</v>
      </c>
      <c r="E8" s="4" t="s">
        <v>42</v>
      </c>
      <c r="F8" s="4" t="s">
        <v>34</v>
      </c>
      <c r="G8" s="4">
        <v>1</v>
      </c>
      <c r="H8" s="4">
        <v>387</v>
      </c>
      <c r="I8" s="4">
        <v>20164440</v>
      </c>
      <c r="J8" s="4">
        <v>48</v>
      </c>
      <c r="K8" s="4">
        <v>8.0625</v>
      </c>
      <c r="L8" s="4">
        <v>420092.5</v>
      </c>
      <c r="M8" s="4">
        <v>52104.496124031</v>
      </c>
      <c r="N8" s="4" t="s">
        <v>54</v>
      </c>
      <c r="O8" s="4">
        <v>0.34902080097438898</v>
      </c>
      <c r="P8" s="4">
        <v>0.226045144713379</v>
      </c>
    </row>
    <row r="9" spans="1:16">
      <c r="A9" s="4" t="s">
        <v>55</v>
      </c>
      <c r="B9" s="4" t="s">
        <v>30</v>
      </c>
      <c r="C9" s="4" t="s">
        <v>56</v>
      </c>
      <c r="D9" s="4" t="s">
        <v>41</v>
      </c>
      <c r="E9" s="4" t="s">
        <v>42</v>
      </c>
      <c r="F9" s="4" t="s">
        <v>34</v>
      </c>
      <c r="G9" s="4">
        <v>1</v>
      </c>
      <c r="H9" s="4">
        <v>377</v>
      </c>
      <c r="I9" s="4">
        <v>20126180</v>
      </c>
      <c r="J9" s="4">
        <v>48</v>
      </c>
      <c r="K9" s="4">
        <v>7.8541666666666696</v>
      </c>
      <c r="L9" s="4">
        <v>419295.41666666698</v>
      </c>
      <c r="M9" s="4">
        <v>53385.092838196302</v>
      </c>
      <c r="N9" s="4" t="s">
        <v>47</v>
      </c>
      <c r="O9" s="4">
        <v>0.244421892281595</v>
      </c>
      <c r="P9" s="4">
        <v>0.177291157979897</v>
      </c>
    </row>
    <row r="10" spans="1:16">
      <c r="A10" s="4" t="s">
        <v>57</v>
      </c>
      <c r="B10" s="4" t="s">
        <v>30</v>
      </c>
      <c r="C10" s="4" t="s">
        <v>58</v>
      </c>
      <c r="D10" s="4" t="s">
        <v>41</v>
      </c>
      <c r="E10" s="4" t="s">
        <v>42</v>
      </c>
      <c r="F10" s="4" t="s">
        <v>34</v>
      </c>
      <c r="G10" s="4">
        <v>1</v>
      </c>
      <c r="H10" s="4">
        <v>367</v>
      </c>
      <c r="I10" s="4">
        <v>20050325</v>
      </c>
      <c r="J10" s="4">
        <v>48</v>
      </c>
      <c r="K10" s="4">
        <v>7.6458333333333304</v>
      </c>
      <c r="L10" s="4">
        <v>417715.10416666698</v>
      </c>
      <c r="M10" s="4">
        <v>54633.038147138999</v>
      </c>
      <c r="N10" s="4" t="s">
        <v>51</v>
      </c>
      <c r="O10" s="4">
        <v>0.48370113701398898</v>
      </c>
      <c r="P10" s="4">
        <v>0.294124999575891</v>
      </c>
    </row>
    <row r="11" spans="1:16">
      <c r="A11" s="4" t="s">
        <v>59</v>
      </c>
      <c r="B11" s="4" t="s">
        <v>30</v>
      </c>
      <c r="C11" s="4" t="s">
        <v>60</v>
      </c>
      <c r="D11" s="4" t="s">
        <v>32</v>
      </c>
      <c r="E11" s="4" t="s">
        <v>33</v>
      </c>
      <c r="F11" s="4" t="s">
        <v>34</v>
      </c>
      <c r="G11" s="4">
        <v>1</v>
      </c>
      <c r="H11" s="4">
        <v>395</v>
      </c>
      <c r="I11" s="4">
        <v>20021173</v>
      </c>
      <c r="J11" s="4">
        <v>48</v>
      </c>
      <c r="K11" s="4">
        <v>8.2291666666666696</v>
      </c>
      <c r="L11" s="4">
        <v>417107.77083333302</v>
      </c>
      <c r="M11" s="4">
        <v>50686.513924050603</v>
      </c>
      <c r="N11" s="4" t="s">
        <v>47</v>
      </c>
      <c r="O11" s="4">
        <v>0.28922441257562698</v>
      </c>
      <c r="P11" s="4">
        <v>0.21136847800061101</v>
      </c>
    </row>
    <row r="12" spans="1:16">
      <c r="A12" s="4" t="s">
        <v>61</v>
      </c>
      <c r="B12" s="4" t="s">
        <v>30</v>
      </c>
      <c r="C12" s="4" t="s">
        <v>62</v>
      </c>
      <c r="D12" s="4" t="s">
        <v>41</v>
      </c>
      <c r="E12" s="4" t="s">
        <v>42</v>
      </c>
      <c r="F12" s="4" t="s">
        <v>34</v>
      </c>
      <c r="G12" s="4">
        <v>1</v>
      </c>
      <c r="H12" s="4">
        <v>399</v>
      </c>
      <c r="I12" s="4">
        <v>20001994</v>
      </c>
      <c r="J12" s="4">
        <v>48</v>
      </c>
      <c r="K12" s="4">
        <v>8.3125</v>
      </c>
      <c r="L12" s="4">
        <v>416708.20833333302</v>
      </c>
      <c r="M12" s="4">
        <v>50130.310776942402</v>
      </c>
      <c r="N12" s="4" t="s">
        <v>35</v>
      </c>
      <c r="O12" s="4">
        <v>0.35819568788991701</v>
      </c>
      <c r="P12" s="4">
        <v>0.213131092075033</v>
      </c>
    </row>
    <row r="13" spans="1:16">
      <c r="A13" s="4" t="s">
        <v>63</v>
      </c>
      <c r="B13" s="4" t="s">
        <v>30</v>
      </c>
      <c r="C13" s="4" t="s">
        <v>64</v>
      </c>
      <c r="D13" s="4" t="s">
        <v>41</v>
      </c>
      <c r="E13" s="4" t="s">
        <v>42</v>
      </c>
      <c r="F13" s="4" t="s">
        <v>34</v>
      </c>
      <c r="G13" s="4">
        <v>1</v>
      </c>
      <c r="H13" s="4">
        <v>388</v>
      </c>
      <c r="I13" s="4">
        <v>19971681</v>
      </c>
      <c r="J13" s="4">
        <v>48</v>
      </c>
      <c r="K13" s="4">
        <v>8.0833333333333304</v>
      </c>
      <c r="L13" s="4">
        <v>416076.6875</v>
      </c>
      <c r="M13" s="4">
        <v>51473.4046391753</v>
      </c>
      <c r="N13" s="4" t="s">
        <v>51</v>
      </c>
      <c r="O13" s="4">
        <v>0.256904263592033</v>
      </c>
      <c r="P13" s="4">
        <v>0.19390837201111799</v>
      </c>
    </row>
    <row r="14" spans="1:16">
      <c r="A14" s="4" t="s">
        <v>65</v>
      </c>
      <c r="B14" s="4" t="s">
        <v>30</v>
      </c>
      <c r="C14" s="4" t="s">
        <v>66</v>
      </c>
      <c r="D14" s="4" t="s">
        <v>32</v>
      </c>
      <c r="E14" s="4" t="s">
        <v>67</v>
      </c>
      <c r="F14" s="4" t="s">
        <v>34</v>
      </c>
      <c r="G14" s="4">
        <v>1</v>
      </c>
      <c r="H14" s="4">
        <v>370</v>
      </c>
      <c r="I14" s="4">
        <v>19951746</v>
      </c>
      <c r="J14" s="4">
        <v>48</v>
      </c>
      <c r="K14" s="4">
        <v>7.7083333333333304</v>
      </c>
      <c r="L14" s="4">
        <v>415661.375</v>
      </c>
      <c r="M14" s="4">
        <v>53923.637837837799</v>
      </c>
      <c r="N14" s="4" t="s">
        <v>68</v>
      </c>
      <c r="O14" s="4">
        <v>0.240838571220784</v>
      </c>
      <c r="P14" s="4">
        <v>0.201764778578881</v>
      </c>
    </row>
    <row r="15" spans="1:16">
      <c r="A15" s="4" t="s">
        <v>69</v>
      </c>
      <c r="B15" s="4" t="s">
        <v>30</v>
      </c>
      <c r="C15" s="4" t="s">
        <v>70</v>
      </c>
      <c r="D15" s="4" t="s">
        <v>41</v>
      </c>
      <c r="E15" s="4" t="s">
        <v>42</v>
      </c>
      <c r="F15" s="4" t="s">
        <v>34</v>
      </c>
      <c r="G15" s="4">
        <v>1</v>
      </c>
      <c r="H15" s="4">
        <v>376</v>
      </c>
      <c r="I15" s="4">
        <v>19922088</v>
      </c>
      <c r="J15" s="4">
        <v>48</v>
      </c>
      <c r="K15" s="4">
        <v>7.8333333333333304</v>
      </c>
      <c r="L15" s="4">
        <v>415043.5</v>
      </c>
      <c r="M15" s="4">
        <v>52984.276595744697</v>
      </c>
      <c r="N15" s="4" t="s">
        <v>51</v>
      </c>
      <c r="O15" s="4">
        <v>0.31835925029545098</v>
      </c>
      <c r="P15" s="4">
        <v>0.20495441150782301</v>
      </c>
    </row>
    <row r="16" spans="1:16">
      <c r="A16" s="4" t="s">
        <v>71</v>
      </c>
      <c r="B16" s="4" t="s">
        <v>30</v>
      </c>
      <c r="C16" s="4" t="s">
        <v>72</v>
      </c>
      <c r="D16" s="4" t="s">
        <v>32</v>
      </c>
      <c r="E16" s="4" t="s">
        <v>33</v>
      </c>
      <c r="F16" s="4" t="s">
        <v>34</v>
      </c>
      <c r="G16" s="4">
        <v>1</v>
      </c>
      <c r="H16" s="4">
        <v>374</v>
      </c>
      <c r="I16" s="4">
        <v>19908055</v>
      </c>
      <c r="J16" s="4">
        <v>48</v>
      </c>
      <c r="K16" s="4">
        <v>7.7916666666666696</v>
      </c>
      <c r="L16" s="4">
        <v>414751.14583333302</v>
      </c>
      <c r="M16" s="4">
        <v>53230.093582887697</v>
      </c>
      <c r="N16" s="4" t="s">
        <v>47</v>
      </c>
      <c r="O16" s="4">
        <v>0.268501920453806</v>
      </c>
      <c r="P16" s="4">
        <v>0.212430881858021</v>
      </c>
    </row>
    <row r="17" spans="1:16">
      <c r="A17" s="4" t="s">
        <v>73</v>
      </c>
      <c r="B17" s="4" t="s">
        <v>30</v>
      </c>
      <c r="C17" s="4" t="s">
        <v>74</v>
      </c>
      <c r="D17" s="4" t="s">
        <v>32</v>
      </c>
      <c r="E17" s="4" t="s">
        <v>33</v>
      </c>
      <c r="F17" s="4" t="s">
        <v>34</v>
      </c>
      <c r="G17" s="4">
        <v>1</v>
      </c>
      <c r="H17" s="4">
        <v>389</v>
      </c>
      <c r="I17" s="4">
        <v>19881661.979591802</v>
      </c>
      <c r="J17" s="4">
        <v>48</v>
      </c>
      <c r="K17" s="4">
        <v>8.1041666666666696</v>
      </c>
      <c r="L17" s="4">
        <v>414201.29124149698</v>
      </c>
      <c r="M17" s="4">
        <v>51109.670898693701</v>
      </c>
      <c r="N17" s="4" t="s">
        <v>54</v>
      </c>
      <c r="O17" s="4">
        <v>0.39216464941428703</v>
      </c>
      <c r="P17" s="4">
        <v>0.23061330440550201</v>
      </c>
    </row>
    <row r="18" spans="1:16">
      <c r="A18" s="4" t="s">
        <v>75</v>
      </c>
      <c r="B18" s="4" t="s">
        <v>30</v>
      </c>
      <c r="C18" s="4" t="s">
        <v>76</v>
      </c>
      <c r="D18" s="4" t="s">
        <v>32</v>
      </c>
      <c r="E18" s="4" t="s">
        <v>67</v>
      </c>
      <c r="F18" s="4" t="s">
        <v>34</v>
      </c>
      <c r="G18" s="4">
        <v>1</v>
      </c>
      <c r="H18" s="4">
        <v>401</v>
      </c>
      <c r="I18" s="4">
        <v>19824807</v>
      </c>
      <c r="J18" s="4">
        <v>48</v>
      </c>
      <c r="K18" s="4">
        <v>8.3541666666666696</v>
      </c>
      <c r="L18" s="4">
        <v>413016.8125</v>
      </c>
      <c r="M18" s="4">
        <v>49438.421446384004</v>
      </c>
      <c r="N18" s="4" t="s">
        <v>35</v>
      </c>
      <c r="O18" s="4">
        <v>0.25412237304504398</v>
      </c>
      <c r="P18" s="4">
        <v>0.19439838316878999</v>
      </c>
    </row>
    <row r="19" spans="1:16">
      <c r="A19" s="4" t="s">
        <v>77</v>
      </c>
      <c r="B19" s="4" t="s">
        <v>30</v>
      </c>
      <c r="C19" s="4" t="s">
        <v>78</v>
      </c>
      <c r="D19" s="4" t="s">
        <v>41</v>
      </c>
      <c r="E19" s="4" t="s">
        <v>42</v>
      </c>
      <c r="F19" s="4" t="s">
        <v>34</v>
      </c>
      <c r="G19" s="4">
        <v>1</v>
      </c>
      <c r="H19" s="4">
        <v>408</v>
      </c>
      <c r="I19" s="4">
        <v>19778627</v>
      </c>
      <c r="J19" s="4">
        <v>48</v>
      </c>
      <c r="K19" s="4">
        <v>8.5</v>
      </c>
      <c r="L19" s="4">
        <v>412054.72916666698</v>
      </c>
      <c r="M19" s="4">
        <v>48477.0269607843</v>
      </c>
      <c r="N19" s="4" t="s">
        <v>54</v>
      </c>
      <c r="O19" s="4">
        <v>0.30346267210560202</v>
      </c>
      <c r="P19" s="4">
        <v>0.19397124678097</v>
      </c>
    </row>
    <row r="20" spans="1:16">
      <c r="A20" s="4" t="s">
        <v>79</v>
      </c>
      <c r="B20" s="4" t="s">
        <v>30</v>
      </c>
      <c r="C20" s="4" t="s">
        <v>80</v>
      </c>
      <c r="D20" s="4" t="s">
        <v>41</v>
      </c>
      <c r="E20" s="4" t="s">
        <v>50</v>
      </c>
      <c r="F20" s="4" t="s">
        <v>34</v>
      </c>
      <c r="G20" s="4">
        <v>1</v>
      </c>
      <c r="H20" s="4">
        <v>388</v>
      </c>
      <c r="I20" s="4">
        <v>19729526</v>
      </c>
      <c r="J20" s="4">
        <v>48</v>
      </c>
      <c r="K20" s="4">
        <v>8.0833333333333304</v>
      </c>
      <c r="L20" s="4">
        <v>411031.79166666698</v>
      </c>
      <c r="M20" s="4">
        <v>50849.293814432996</v>
      </c>
      <c r="N20" s="4" t="s">
        <v>51</v>
      </c>
      <c r="O20" s="4">
        <v>0.55998025497419501</v>
      </c>
      <c r="P20" s="4">
        <v>0.35332421499464001</v>
      </c>
    </row>
    <row r="21" spans="1:16">
      <c r="A21" s="4" t="s">
        <v>81</v>
      </c>
      <c r="B21" s="4" t="s">
        <v>30</v>
      </c>
      <c r="C21" s="4" t="s">
        <v>82</v>
      </c>
      <c r="D21" s="4" t="s">
        <v>41</v>
      </c>
      <c r="E21" s="4" t="s">
        <v>42</v>
      </c>
      <c r="F21" s="4" t="s">
        <v>34</v>
      </c>
      <c r="G21" s="4">
        <v>1</v>
      </c>
      <c r="H21" s="4">
        <v>365</v>
      </c>
      <c r="I21" s="4">
        <v>19688697</v>
      </c>
      <c r="J21" s="4">
        <v>48</v>
      </c>
      <c r="K21" s="4">
        <v>7.6041666666666696</v>
      </c>
      <c r="L21" s="4">
        <v>410181.1875</v>
      </c>
      <c r="M21" s="4">
        <v>53941.635616438398</v>
      </c>
      <c r="N21" s="4" t="s">
        <v>38</v>
      </c>
      <c r="O21" s="4">
        <v>0.33637086293724799</v>
      </c>
      <c r="P21" s="4">
        <v>0.21717444730475399</v>
      </c>
    </row>
    <row r="22" spans="1:16">
      <c r="A22" s="4" t="s">
        <v>83</v>
      </c>
      <c r="B22" s="4" t="s">
        <v>30</v>
      </c>
      <c r="C22" s="4" t="s">
        <v>84</v>
      </c>
      <c r="D22" s="4" t="s">
        <v>41</v>
      </c>
      <c r="E22" s="4" t="s">
        <v>50</v>
      </c>
      <c r="F22" s="4" t="s">
        <v>34</v>
      </c>
      <c r="G22" s="4">
        <v>1</v>
      </c>
      <c r="H22" s="4">
        <v>397</v>
      </c>
      <c r="I22" s="4">
        <v>19647009</v>
      </c>
      <c r="J22" s="4">
        <v>48</v>
      </c>
      <c r="K22" s="4">
        <v>8.2708333333333304</v>
      </c>
      <c r="L22" s="4">
        <v>409312.6875</v>
      </c>
      <c r="M22" s="4">
        <v>49488.687657430703</v>
      </c>
      <c r="N22" s="4" t="s">
        <v>54</v>
      </c>
      <c r="O22" s="4">
        <v>0.26748768731159001</v>
      </c>
      <c r="P22" s="4">
        <v>0.20129524322006001</v>
      </c>
    </row>
    <row r="23" spans="1:16">
      <c r="A23" s="4" t="s">
        <v>85</v>
      </c>
      <c r="B23" s="4" t="s">
        <v>30</v>
      </c>
      <c r="C23" s="4" t="s">
        <v>86</v>
      </c>
      <c r="D23" s="4" t="s">
        <v>32</v>
      </c>
      <c r="E23" s="4" t="s">
        <v>67</v>
      </c>
      <c r="F23" s="4" t="s">
        <v>34</v>
      </c>
      <c r="G23" s="4">
        <v>1</v>
      </c>
      <c r="H23" s="4">
        <v>373</v>
      </c>
      <c r="I23" s="4">
        <v>19622265</v>
      </c>
      <c r="J23" s="4">
        <v>48</v>
      </c>
      <c r="K23" s="4">
        <v>7.7708333333333304</v>
      </c>
      <c r="L23" s="4">
        <v>408797.1875</v>
      </c>
      <c r="M23" s="4">
        <v>52606.608579088497</v>
      </c>
      <c r="N23" s="4" t="s">
        <v>38</v>
      </c>
      <c r="O23" s="4">
        <v>0.27580934209175101</v>
      </c>
      <c r="P23" s="4">
        <v>0.189638698329744</v>
      </c>
    </row>
    <row r="24" spans="1:16">
      <c r="A24" s="4" t="s">
        <v>87</v>
      </c>
      <c r="B24" s="4" t="s">
        <v>30</v>
      </c>
      <c r="C24" s="4" t="s">
        <v>88</v>
      </c>
      <c r="D24" s="4" t="s">
        <v>41</v>
      </c>
      <c r="E24" s="4" t="s">
        <v>50</v>
      </c>
      <c r="F24" s="4" t="s">
        <v>34</v>
      </c>
      <c r="G24" s="4">
        <v>1</v>
      </c>
      <c r="H24" s="4">
        <v>386</v>
      </c>
      <c r="I24" s="4">
        <v>19608106</v>
      </c>
      <c r="J24" s="4">
        <v>48</v>
      </c>
      <c r="K24" s="4">
        <v>8.0416666666666696</v>
      </c>
      <c r="L24" s="4">
        <v>408502.20833333302</v>
      </c>
      <c r="M24" s="4">
        <v>50798.202072538901</v>
      </c>
      <c r="N24" s="4" t="s">
        <v>54</v>
      </c>
      <c r="O24" s="4">
        <v>0.207726590217332</v>
      </c>
      <c r="P24" s="4">
        <v>0.18322462446521401</v>
      </c>
    </row>
    <row r="25" spans="1:16">
      <c r="A25" s="4" t="s">
        <v>89</v>
      </c>
      <c r="B25" s="4" t="s">
        <v>30</v>
      </c>
      <c r="C25" s="4" t="s">
        <v>90</v>
      </c>
      <c r="D25" s="4" t="s">
        <v>32</v>
      </c>
      <c r="E25" s="4" t="s">
        <v>33</v>
      </c>
      <c r="F25" s="4" t="s">
        <v>34</v>
      </c>
      <c r="G25" s="4">
        <v>1</v>
      </c>
      <c r="H25" s="4">
        <v>377</v>
      </c>
      <c r="I25" s="4">
        <v>19559458</v>
      </c>
      <c r="J25" s="4">
        <v>48</v>
      </c>
      <c r="K25" s="4">
        <v>7.8541666666666696</v>
      </c>
      <c r="L25" s="4">
        <v>407488.70833333302</v>
      </c>
      <c r="M25" s="4">
        <v>51881.851458885903</v>
      </c>
      <c r="N25" s="4" t="s">
        <v>38</v>
      </c>
      <c r="O25" s="4">
        <v>0.38575102643437298</v>
      </c>
      <c r="P25" s="4">
        <v>0.22912661845238599</v>
      </c>
    </row>
    <row r="26" spans="1:16">
      <c r="A26" s="4" t="s">
        <v>91</v>
      </c>
      <c r="B26" s="4" t="s">
        <v>30</v>
      </c>
      <c r="C26" s="4" t="s">
        <v>92</v>
      </c>
      <c r="D26" s="4" t="s">
        <v>32</v>
      </c>
      <c r="E26" s="4" t="s">
        <v>33</v>
      </c>
      <c r="F26" s="4" t="s">
        <v>34</v>
      </c>
      <c r="G26" s="4">
        <v>1</v>
      </c>
      <c r="H26" s="4">
        <v>391</v>
      </c>
      <c r="I26" s="4">
        <v>19467179</v>
      </c>
      <c r="J26" s="4">
        <v>48</v>
      </c>
      <c r="K26" s="4">
        <v>8.1458333333333304</v>
      </c>
      <c r="L26" s="4">
        <v>405566.22916666698</v>
      </c>
      <c r="M26" s="4">
        <v>49788.181585677798</v>
      </c>
      <c r="N26" s="4" t="s">
        <v>35</v>
      </c>
      <c r="O26" s="4">
        <v>0.37382350056985703</v>
      </c>
      <c r="P26" s="4">
        <v>0.22534578486793699</v>
      </c>
    </row>
    <row r="27" spans="1:16">
      <c r="A27" s="4" t="s">
        <v>93</v>
      </c>
      <c r="B27" s="4" t="s">
        <v>30</v>
      </c>
      <c r="C27" s="4" t="s">
        <v>94</v>
      </c>
      <c r="D27" s="4" t="s">
        <v>41</v>
      </c>
      <c r="E27" s="4" t="s">
        <v>50</v>
      </c>
      <c r="F27" s="4" t="s">
        <v>34</v>
      </c>
      <c r="G27" s="4">
        <v>1</v>
      </c>
      <c r="H27" s="4">
        <v>382</v>
      </c>
      <c r="I27" s="4">
        <v>19451890</v>
      </c>
      <c r="J27" s="4">
        <v>48</v>
      </c>
      <c r="K27" s="4">
        <v>7.9583333333333304</v>
      </c>
      <c r="L27" s="4">
        <v>405247.70833333302</v>
      </c>
      <c r="M27" s="4">
        <v>50921.178010471202</v>
      </c>
      <c r="N27" s="4" t="s">
        <v>35</v>
      </c>
      <c r="O27" s="4">
        <v>0.25237506483945799</v>
      </c>
      <c r="P27" s="4">
        <v>0.196197251163646</v>
      </c>
    </row>
    <row r="28" spans="1:16">
      <c r="A28" s="4" t="s">
        <v>95</v>
      </c>
      <c r="B28" s="4" t="s">
        <v>30</v>
      </c>
      <c r="C28" s="4" t="s">
        <v>96</v>
      </c>
      <c r="D28" s="4" t="s">
        <v>32</v>
      </c>
      <c r="E28" s="4" t="s">
        <v>33</v>
      </c>
      <c r="F28" s="4" t="s">
        <v>34</v>
      </c>
      <c r="G28" s="4">
        <v>1</v>
      </c>
      <c r="H28" s="4">
        <v>372</v>
      </c>
      <c r="I28" s="4">
        <v>19367044</v>
      </c>
      <c r="J28" s="4">
        <v>48</v>
      </c>
      <c r="K28" s="4">
        <v>7.75</v>
      </c>
      <c r="L28" s="4">
        <v>403480.08333333302</v>
      </c>
      <c r="M28" s="4">
        <v>52061.946236559103</v>
      </c>
      <c r="N28" s="4" t="s">
        <v>54</v>
      </c>
      <c r="O28" s="4">
        <v>0.57110553370973904</v>
      </c>
      <c r="P28" s="4">
        <v>0.367461446523282</v>
      </c>
    </row>
    <row r="29" spans="1:16">
      <c r="A29" s="4" t="s">
        <v>97</v>
      </c>
      <c r="B29" s="4" t="s">
        <v>30</v>
      </c>
      <c r="C29" s="4" t="s">
        <v>98</v>
      </c>
      <c r="D29" s="4" t="s">
        <v>41</v>
      </c>
      <c r="E29" s="4" t="s">
        <v>50</v>
      </c>
      <c r="F29" s="4" t="s">
        <v>34</v>
      </c>
      <c r="G29" s="4">
        <v>1</v>
      </c>
      <c r="H29" s="4">
        <v>373</v>
      </c>
      <c r="I29" s="4">
        <v>19343253</v>
      </c>
      <c r="J29" s="4">
        <v>48</v>
      </c>
      <c r="K29" s="4">
        <v>7.7708333333333304</v>
      </c>
      <c r="L29" s="4">
        <v>402984.4375</v>
      </c>
      <c r="M29" s="4">
        <v>51858.587131367298</v>
      </c>
      <c r="N29" s="4" t="s">
        <v>51</v>
      </c>
      <c r="O29" s="4">
        <v>0.51188923600389302</v>
      </c>
      <c r="P29" s="4">
        <v>0.32213868774541399</v>
      </c>
    </row>
    <row r="30" spans="1:16">
      <c r="A30" s="4" t="s">
        <v>99</v>
      </c>
      <c r="B30" s="4" t="s">
        <v>30</v>
      </c>
      <c r="C30" s="4" t="s">
        <v>100</v>
      </c>
      <c r="D30" s="4" t="s">
        <v>32</v>
      </c>
      <c r="E30" s="4" t="s">
        <v>33</v>
      </c>
      <c r="F30" s="4" t="s">
        <v>34</v>
      </c>
      <c r="G30" s="4">
        <v>1</v>
      </c>
      <c r="H30" s="4">
        <v>426</v>
      </c>
      <c r="I30" s="4">
        <v>19269849</v>
      </c>
      <c r="J30" s="4">
        <v>48</v>
      </c>
      <c r="K30" s="4">
        <v>8.875</v>
      </c>
      <c r="L30" s="4">
        <v>401455.1875</v>
      </c>
      <c r="M30" s="4">
        <v>45234.387323943702</v>
      </c>
      <c r="N30" s="4" t="s">
        <v>54</v>
      </c>
      <c r="O30" s="4">
        <v>0.37747254791669599</v>
      </c>
      <c r="P30" s="4">
        <v>0.22775026003555901</v>
      </c>
    </row>
    <row r="31" spans="1:16">
      <c r="A31" s="4" t="s">
        <v>101</v>
      </c>
      <c r="B31" s="4" t="s">
        <v>30</v>
      </c>
      <c r="C31" s="4" t="s">
        <v>102</v>
      </c>
      <c r="D31" s="4" t="s">
        <v>32</v>
      </c>
      <c r="E31" s="4" t="s">
        <v>67</v>
      </c>
      <c r="F31" s="4" t="s">
        <v>34</v>
      </c>
      <c r="G31" s="4">
        <v>1</v>
      </c>
      <c r="H31" s="4">
        <v>409</v>
      </c>
      <c r="I31" s="4">
        <v>19226447.571428601</v>
      </c>
      <c r="J31" s="4">
        <v>48</v>
      </c>
      <c r="K31" s="4">
        <v>8.5208333333333304</v>
      </c>
      <c r="L31" s="4">
        <v>400550.99107142899</v>
      </c>
      <c r="M31" s="4">
        <v>47008.429269996501</v>
      </c>
      <c r="N31" s="4" t="s">
        <v>54</v>
      </c>
      <c r="O31" s="4">
        <v>0.23228768514870099</v>
      </c>
      <c r="P31" s="4">
        <v>0.18304570620010599</v>
      </c>
    </row>
    <row r="32" spans="1:16">
      <c r="A32" s="4" t="s">
        <v>103</v>
      </c>
      <c r="B32" s="4" t="s">
        <v>30</v>
      </c>
      <c r="C32" s="4" t="s">
        <v>104</v>
      </c>
      <c r="D32" s="4" t="s">
        <v>41</v>
      </c>
      <c r="E32" s="4" t="s">
        <v>42</v>
      </c>
      <c r="F32" s="4" t="s">
        <v>34</v>
      </c>
      <c r="G32" s="4">
        <v>1</v>
      </c>
      <c r="H32" s="4">
        <v>365</v>
      </c>
      <c r="I32" s="4">
        <v>19173245</v>
      </c>
      <c r="J32" s="4">
        <v>48</v>
      </c>
      <c r="K32" s="4">
        <v>7.6041666666666696</v>
      </c>
      <c r="L32" s="4">
        <v>399442.60416666698</v>
      </c>
      <c r="M32" s="4">
        <v>52529.438356164399</v>
      </c>
      <c r="N32" s="4" t="s">
        <v>51</v>
      </c>
      <c r="O32" s="4">
        <v>0.28745040289215501</v>
      </c>
      <c r="P32" s="4">
        <v>0.19779224022771999</v>
      </c>
    </row>
    <row r="33" spans="1:16">
      <c r="A33" s="4" t="s">
        <v>105</v>
      </c>
      <c r="B33" s="4" t="s">
        <v>30</v>
      </c>
      <c r="C33" s="4" t="s">
        <v>106</v>
      </c>
      <c r="D33" s="4" t="s">
        <v>32</v>
      </c>
      <c r="E33" s="4" t="s">
        <v>67</v>
      </c>
      <c r="F33" s="4" t="s">
        <v>34</v>
      </c>
      <c r="G33" s="4">
        <v>1</v>
      </c>
      <c r="H33" s="4">
        <v>401</v>
      </c>
      <c r="I33" s="4">
        <v>19090504</v>
      </c>
      <c r="J33" s="4">
        <v>48</v>
      </c>
      <c r="K33" s="4">
        <v>8.3541666666666696</v>
      </c>
      <c r="L33" s="4">
        <v>397718.83333333302</v>
      </c>
      <c r="M33" s="4">
        <v>47607.241895261897</v>
      </c>
      <c r="N33" s="4" t="s">
        <v>51</v>
      </c>
      <c r="O33" s="4">
        <v>0.431293380206201</v>
      </c>
      <c r="P33" s="4">
        <v>0.256725456554805</v>
      </c>
    </row>
    <row r="34" spans="1:16">
      <c r="A34" s="4" t="s">
        <v>107</v>
      </c>
      <c r="B34" s="4" t="s">
        <v>30</v>
      </c>
      <c r="C34" s="4" t="s">
        <v>108</v>
      </c>
      <c r="D34" s="4" t="s">
        <v>41</v>
      </c>
      <c r="E34" s="4" t="s">
        <v>50</v>
      </c>
      <c r="F34" s="4" t="s">
        <v>34</v>
      </c>
      <c r="G34" s="4">
        <v>1</v>
      </c>
      <c r="H34" s="4">
        <v>396</v>
      </c>
      <c r="I34" s="4">
        <v>19043192</v>
      </c>
      <c r="J34" s="4">
        <v>48</v>
      </c>
      <c r="K34" s="4">
        <v>8.25</v>
      </c>
      <c r="L34" s="4">
        <v>396733.16666666698</v>
      </c>
      <c r="M34" s="4">
        <v>48088.8686868687</v>
      </c>
      <c r="N34" s="4" t="s">
        <v>51</v>
      </c>
      <c r="O34" s="4">
        <v>0.35511704130274002</v>
      </c>
      <c r="P34" s="4">
        <v>0.24786141933942499</v>
      </c>
    </row>
    <row r="35" spans="1:16">
      <c r="A35" s="4" t="s">
        <v>109</v>
      </c>
      <c r="B35" s="4" t="s">
        <v>30</v>
      </c>
      <c r="C35" s="4" t="s">
        <v>110</v>
      </c>
      <c r="D35" s="4" t="s">
        <v>32</v>
      </c>
      <c r="E35" s="4" t="s">
        <v>67</v>
      </c>
      <c r="F35" s="4" t="s">
        <v>34</v>
      </c>
      <c r="G35" s="4">
        <v>1</v>
      </c>
      <c r="H35" s="4">
        <v>405</v>
      </c>
      <c r="I35" s="4">
        <v>19023462</v>
      </c>
      <c r="J35" s="4">
        <v>48</v>
      </c>
      <c r="K35" s="4">
        <v>8.4375</v>
      </c>
      <c r="L35" s="4">
        <v>396322.125</v>
      </c>
      <c r="M35" s="4">
        <v>46971.511111111096</v>
      </c>
      <c r="N35" s="4" t="s">
        <v>54</v>
      </c>
      <c r="O35" s="4">
        <v>0.33665097341377698</v>
      </c>
      <c r="P35" s="4">
        <v>0.21107034577370601</v>
      </c>
    </row>
    <row r="36" spans="1:16">
      <c r="A36" s="4" t="s">
        <v>111</v>
      </c>
      <c r="B36" s="4" t="s">
        <v>30</v>
      </c>
      <c r="C36" s="4" t="s">
        <v>112</v>
      </c>
      <c r="D36" s="4" t="s">
        <v>32</v>
      </c>
      <c r="E36" s="4" t="s">
        <v>33</v>
      </c>
      <c r="F36" s="4" t="s">
        <v>34</v>
      </c>
      <c r="G36" s="4">
        <v>1</v>
      </c>
      <c r="H36" s="4">
        <v>389</v>
      </c>
      <c r="I36" s="4">
        <v>18990780</v>
      </c>
      <c r="J36" s="4">
        <v>48</v>
      </c>
      <c r="K36" s="4">
        <v>8.1041666666666696</v>
      </c>
      <c r="L36" s="4">
        <v>395641.25</v>
      </c>
      <c r="M36" s="4">
        <v>48819.485861182497</v>
      </c>
      <c r="N36" s="4" t="s">
        <v>47</v>
      </c>
      <c r="O36" s="4">
        <v>0.228366923317526</v>
      </c>
      <c r="P36" s="4">
        <v>0.175850078264912</v>
      </c>
    </row>
    <row r="37" spans="1:16">
      <c r="A37" s="4" t="s">
        <v>113</v>
      </c>
      <c r="B37" s="4" t="s">
        <v>30</v>
      </c>
      <c r="C37" s="4" t="s">
        <v>114</v>
      </c>
      <c r="D37" s="4" t="s">
        <v>41</v>
      </c>
      <c r="E37" s="4" t="s">
        <v>42</v>
      </c>
      <c r="F37" s="4" t="s">
        <v>34</v>
      </c>
      <c r="G37" s="4">
        <v>1</v>
      </c>
      <c r="H37" s="4">
        <v>382</v>
      </c>
      <c r="I37" s="4">
        <v>18970897</v>
      </c>
      <c r="J37" s="4">
        <v>48</v>
      </c>
      <c r="K37" s="4">
        <v>7.9583333333333304</v>
      </c>
      <c r="L37" s="4">
        <v>395227.02083333302</v>
      </c>
      <c r="M37" s="4">
        <v>49662.034031413597</v>
      </c>
      <c r="N37" s="4" t="s">
        <v>47</v>
      </c>
      <c r="O37" s="4">
        <v>0.34283233945131902</v>
      </c>
      <c r="P37" s="4">
        <v>0.215802771393062</v>
      </c>
    </row>
    <row r="38" spans="1:16">
      <c r="A38" s="4" t="s">
        <v>115</v>
      </c>
      <c r="B38" s="4" t="s">
        <v>30</v>
      </c>
      <c r="C38" s="4" t="s">
        <v>116</v>
      </c>
      <c r="D38" s="4" t="s">
        <v>41</v>
      </c>
      <c r="E38" s="4" t="s">
        <v>42</v>
      </c>
      <c r="F38" s="4" t="s">
        <v>34</v>
      </c>
      <c r="G38" s="4">
        <v>1</v>
      </c>
      <c r="H38" s="4">
        <v>372</v>
      </c>
      <c r="I38" s="4">
        <v>18879087</v>
      </c>
      <c r="J38" s="4">
        <v>48</v>
      </c>
      <c r="K38" s="4">
        <v>7.75</v>
      </c>
      <c r="L38" s="4">
        <v>393314.3125</v>
      </c>
      <c r="M38" s="4">
        <v>50750.233870967699</v>
      </c>
      <c r="N38" s="4" t="s">
        <v>38</v>
      </c>
      <c r="O38" s="4">
        <v>0.215758420944826</v>
      </c>
      <c r="P38" s="4">
        <v>0.18429677001426101</v>
      </c>
    </row>
    <row r="39" spans="1:16">
      <c r="A39" s="4" t="s">
        <v>117</v>
      </c>
      <c r="B39" s="4" t="s">
        <v>30</v>
      </c>
      <c r="C39" s="4" t="s">
        <v>118</v>
      </c>
      <c r="D39" s="4" t="s">
        <v>41</v>
      </c>
      <c r="E39" s="4" t="s">
        <v>42</v>
      </c>
      <c r="F39" s="4" t="s">
        <v>34</v>
      </c>
      <c r="G39" s="4">
        <v>1</v>
      </c>
      <c r="H39" s="4">
        <v>396</v>
      </c>
      <c r="I39" s="4">
        <v>18873464</v>
      </c>
      <c r="J39" s="4">
        <v>48</v>
      </c>
      <c r="K39" s="4">
        <v>8.25</v>
      </c>
      <c r="L39" s="4">
        <v>393197.16666666698</v>
      </c>
      <c r="M39" s="4">
        <v>47660.2626262626</v>
      </c>
      <c r="N39" s="4" t="s">
        <v>35</v>
      </c>
      <c r="O39" s="4">
        <v>0.25643225854035101</v>
      </c>
      <c r="P39" s="4">
        <v>0.195607247423568</v>
      </c>
    </row>
    <row r="40" spans="1:16">
      <c r="A40" s="4" t="s">
        <v>119</v>
      </c>
      <c r="B40" s="4" t="s">
        <v>30</v>
      </c>
      <c r="C40" s="4" t="s">
        <v>120</v>
      </c>
      <c r="D40" s="4" t="s">
        <v>32</v>
      </c>
      <c r="E40" s="4" t="s">
        <v>67</v>
      </c>
      <c r="F40" s="4" t="s">
        <v>34</v>
      </c>
      <c r="G40" s="4">
        <v>1</v>
      </c>
      <c r="H40" s="4">
        <v>391</v>
      </c>
      <c r="I40" s="4">
        <v>18857078</v>
      </c>
      <c r="J40" s="4">
        <v>48</v>
      </c>
      <c r="K40" s="4">
        <v>8.1458333333333304</v>
      </c>
      <c r="L40" s="4">
        <v>392855.79166666698</v>
      </c>
      <c r="M40" s="4">
        <v>48227.820971866997</v>
      </c>
      <c r="N40" s="4" t="s">
        <v>51</v>
      </c>
      <c r="O40" s="4">
        <v>0.31061620469512802</v>
      </c>
      <c r="P40" s="4">
        <v>0.20222076875074099</v>
      </c>
    </row>
    <row r="41" spans="1:16">
      <c r="A41" s="4" t="s">
        <v>121</v>
      </c>
      <c r="B41" s="4" t="s">
        <v>30</v>
      </c>
      <c r="C41" s="4" t="s">
        <v>122</v>
      </c>
      <c r="D41" s="4" t="s">
        <v>41</v>
      </c>
      <c r="E41" s="4" t="s">
        <v>42</v>
      </c>
      <c r="F41" s="4" t="s">
        <v>34</v>
      </c>
      <c r="G41" s="4">
        <v>1</v>
      </c>
      <c r="H41" s="4">
        <v>391</v>
      </c>
      <c r="I41" s="4">
        <v>18790176</v>
      </c>
      <c r="J41" s="4">
        <v>48</v>
      </c>
      <c r="K41" s="4">
        <v>8.1458333333333304</v>
      </c>
      <c r="L41" s="4">
        <v>391462</v>
      </c>
      <c r="M41" s="4">
        <v>48056.716112531998</v>
      </c>
      <c r="N41" s="4" t="s">
        <v>47</v>
      </c>
      <c r="O41" s="4">
        <v>0.244783923258622</v>
      </c>
      <c r="P41" s="4">
        <v>0.18976619911506001</v>
      </c>
    </row>
    <row r="42" spans="1:16">
      <c r="A42" s="4" t="s">
        <v>123</v>
      </c>
      <c r="B42" s="4" t="s">
        <v>30</v>
      </c>
      <c r="C42" s="4" t="s">
        <v>124</v>
      </c>
      <c r="D42" s="4" t="s">
        <v>32</v>
      </c>
      <c r="E42" s="4" t="s">
        <v>33</v>
      </c>
      <c r="F42" s="4" t="s">
        <v>34</v>
      </c>
      <c r="G42" s="4">
        <v>1</v>
      </c>
      <c r="H42" s="4">
        <v>373</v>
      </c>
      <c r="I42" s="4">
        <v>18752650</v>
      </c>
      <c r="J42" s="4">
        <v>48</v>
      </c>
      <c r="K42" s="4">
        <v>7.7708333333333304</v>
      </c>
      <c r="L42" s="4">
        <v>390680.20833333302</v>
      </c>
      <c r="M42" s="4">
        <v>50275.201072386102</v>
      </c>
      <c r="N42" s="4" t="s">
        <v>51</v>
      </c>
      <c r="O42" s="4">
        <v>0.243831298509811</v>
      </c>
      <c r="P42" s="4">
        <v>0.177044165852802</v>
      </c>
    </row>
    <row r="43" spans="1:16">
      <c r="A43" s="4" t="s">
        <v>125</v>
      </c>
      <c r="B43" s="4" t="s">
        <v>30</v>
      </c>
      <c r="C43" s="4" t="s">
        <v>126</v>
      </c>
      <c r="D43" s="4" t="s">
        <v>32</v>
      </c>
      <c r="E43" s="4" t="s">
        <v>33</v>
      </c>
      <c r="F43" s="4" t="s">
        <v>34</v>
      </c>
      <c r="G43" s="4">
        <v>1</v>
      </c>
      <c r="H43" s="4">
        <v>398</v>
      </c>
      <c r="I43" s="4">
        <v>18752095</v>
      </c>
      <c r="J43" s="4">
        <v>48</v>
      </c>
      <c r="K43" s="4">
        <v>8.2916666666666696</v>
      </c>
      <c r="L43" s="4">
        <v>390668.64583333302</v>
      </c>
      <c r="M43" s="4">
        <v>47115.816582914602</v>
      </c>
      <c r="N43" s="4" t="s">
        <v>51</v>
      </c>
      <c r="O43" s="4">
        <v>0.35798800080737597</v>
      </c>
      <c r="P43" s="4">
        <v>0.22947153322764999</v>
      </c>
    </row>
    <row r="44" spans="1:16">
      <c r="A44" s="4" t="s">
        <v>127</v>
      </c>
      <c r="B44" s="4" t="s">
        <v>30</v>
      </c>
      <c r="C44" s="4" t="s">
        <v>128</v>
      </c>
      <c r="D44" s="4" t="s">
        <v>32</v>
      </c>
      <c r="E44" s="4" t="s">
        <v>67</v>
      </c>
      <c r="F44" s="4" t="s">
        <v>34</v>
      </c>
      <c r="G44" s="4">
        <v>1</v>
      </c>
      <c r="H44" s="4">
        <v>389</v>
      </c>
      <c r="I44" s="4">
        <v>18731547</v>
      </c>
      <c r="J44" s="4">
        <v>48</v>
      </c>
      <c r="K44" s="4">
        <v>8.1041666666666696</v>
      </c>
      <c r="L44" s="4">
        <v>390240.5625</v>
      </c>
      <c r="M44" s="4">
        <v>48153.0771208226</v>
      </c>
      <c r="N44" s="4" t="s">
        <v>51</v>
      </c>
      <c r="O44" s="4">
        <v>0.38622165056628799</v>
      </c>
      <c r="P44" s="4">
        <v>0.23326220984425799</v>
      </c>
    </row>
    <row r="45" spans="1:16">
      <c r="A45" s="4" t="s">
        <v>129</v>
      </c>
      <c r="B45" s="4" t="s">
        <v>30</v>
      </c>
      <c r="C45" s="4" t="s">
        <v>130</v>
      </c>
      <c r="D45" s="4" t="s">
        <v>32</v>
      </c>
      <c r="E45" s="4" t="s">
        <v>67</v>
      </c>
      <c r="F45" s="4" t="s">
        <v>34</v>
      </c>
      <c r="G45" s="4">
        <v>1</v>
      </c>
      <c r="H45" s="4">
        <v>397</v>
      </c>
      <c r="I45" s="4">
        <v>18720448</v>
      </c>
      <c r="J45" s="4">
        <v>48</v>
      </c>
      <c r="K45" s="4">
        <v>8.2708333333333304</v>
      </c>
      <c r="L45" s="4">
        <v>390009.33333333302</v>
      </c>
      <c r="M45" s="4">
        <v>47154.780856423196</v>
      </c>
      <c r="N45" s="4" t="s">
        <v>54</v>
      </c>
      <c r="O45" s="4">
        <v>0.29830835244968501</v>
      </c>
      <c r="P45" s="4">
        <v>0.20616319218584001</v>
      </c>
    </row>
    <row r="46" spans="1:16">
      <c r="A46" s="4" t="s">
        <v>131</v>
      </c>
      <c r="B46" s="4" t="s">
        <v>30</v>
      </c>
      <c r="C46" s="4" t="s">
        <v>132</v>
      </c>
      <c r="D46" s="4" t="s">
        <v>41</v>
      </c>
      <c r="E46" s="4" t="s">
        <v>42</v>
      </c>
      <c r="F46" s="4" t="s">
        <v>34</v>
      </c>
      <c r="G46" s="4">
        <v>1</v>
      </c>
      <c r="H46" s="4">
        <v>384</v>
      </c>
      <c r="I46" s="4">
        <v>18657693.765182201</v>
      </c>
      <c r="J46" s="4">
        <v>48</v>
      </c>
      <c r="K46" s="4">
        <v>8</v>
      </c>
      <c r="L46" s="4">
        <v>388701.95344129601</v>
      </c>
      <c r="M46" s="4">
        <v>48587.744180161899</v>
      </c>
      <c r="N46" s="4" t="s">
        <v>51</v>
      </c>
      <c r="O46" s="4">
        <v>0.43477135316262799</v>
      </c>
      <c r="P46" s="4">
        <v>0.25680555432157398</v>
      </c>
    </row>
    <row r="47" spans="1:16">
      <c r="A47" s="4" t="s">
        <v>133</v>
      </c>
      <c r="B47" s="4" t="s">
        <v>30</v>
      </c>
      <c r="C47" s="4" t="s">
        <v>134</v>
      </c>
      <c r="D47" s="4" t="s">
        <v>41</v>
      </c>
      <c r="E47" s="4" t="s">
        <v>42</v>
      </c>
      <c r="F47" s="4" t="s">
        <v>34</v>
      </c>
      <c r="G47" s="4">
        <v>1</v>
      </c>
      <c r="H47" s="4">
        <v>370</v>
      </c>
      <c r="I47" s="4">
        <v>18643316</v>
      </c>
      <c r="J47" s="4">
        <v>48</v>
      </c>
      <c r="K47" s="4">
        <v>7.7083333333333304</v>
      </c>
      <c r="L47" s="4">
        <v>388402.41666666698</v>
      </c>
      <c r="M47" s="4">
        <v>50387.340540540499</v>
      </c>
      <c r="N47" s="4" t="s">
        <v>35</v>
      </c>
      <c r="O47" s="4">
        <v>0.248633987644687</v>
      </c>
      <c r="P47" s="4">
        <v>0.19603344499709899</v>
      </c>
    </row>
    <row r="48" spans="1:16">
      <c r="A48" s="4" t="s">
        <v>135</v>
      </c>
      <c r="B48" s="4" t="s">
        <v>30</v>
      </c>
      <c r="C48" s="4" t="s">
        <v>136</v>
      </c>
      <c r="D48" s="4" t="s">
        <v>41</v>
      </c>
      <c r="E48" s="4" t="s">
        <v>42</v>
      </c>
      <c r="F48" s="4" t="s">
        <v>34</v>
      </c>
      <c r="G48" s="4">
        <v>1</v>
      </c>
      <c r="H48" s="4">
        <v>403</v>
      </c>
      <c r="I48" s="4">
        <v>18642972</v>
      </c>
      <c r="J48" s="4">
        <v>48</v>
      </c>
      <c r="K48" s="4">
        <v>8.3958333333333304</v>
      </c>
      <c r="L48" s="4">
        <v>388395.25</v>
      </c>
      <c r="M48" s="4">
        <v>46260.476426799003</v>
      </c>
      <c r="N48" s="4" t="s">
        <v>51</v>
      </c>
      <c r="O48" s="4">
        <v>0.27163405062240098</v>
      </c>
      <c r="P48" s="4">
        <v>0.18744565257880499</v>
      </c>
    </row>
    <row r="49" spans="1:16">
      <c r="A49" s="4" t="s">
        <v>137</v>
      </c>
      <c r="B49" s="4" t="s">
        <v>30</v>
      </c>
      <c r="C49" s="4" t="s">
        <v>138</v>
      </c>
      <c r="D49" s="4" t="s">
        <v>32</v>
      </c>
      <c r="E49" s="4" t="s">
        <v>33</v>
      </c>
      <c r="F49" s="4" t="s">
        <v>34</v>
      </c>
      <c r="G49" s="4">
        <v>1</v>
      </c>
      <c r="H49" s="4">
        <v>395</v>
      </c>
      <c r="I49" s="4">
        <v>18632011</v>
      </c>
      <c r="J49" s="4">
        <v>48</v>
      </c>
      <c r="K49" s="4">
        <v>8.2291666666666696</v>
      </c>
      <c r="L49" s="4">
        <v>388166.89583333302</v>
      </c>
      <c r="M49" s="4">
        <v>47169.648101265797</v>
      </c>
      <c r="N49" s="4" t="s">
        <v>35</v>
      </c>
      <c r="O49" s="4">
        <v>0.28337010964624298</v>
      </c>
      <c r="P49" s="4">
        <v>0.19912219269256901</v>
      </c>
    </row>
    <row r="50" spans="1:16">
      <c r="A50" s="4" t="s">
        <v>139</v>
      </c>
      <c r="B50" s="4" t="s">
        <v>30</v>
      </c>
      <c r="C50" s="4" t="s">
        <v>140</v>
      </c>
      <c r="D50" s="4" t="s">
        <v>41</v>
      </c>
      <c r="E50" s="4" t="s">
        <v>50</v>
      </c>
      <c r="F50" s="4" t="s">
        <v>34</v>
      </c>
      <c r="G50" s="4">
        <v>1</v>
      </c>
      <c r="H50" s="4">
        <v>365</v>
      </c>
      <c r="I50" s="4">
        <v>18573169</v>
      </c>
      <c r="J50" s="4">
        <v>48</v>
      </c>
      <c r="K50" s="4">
        <v>7.6041666666666696</v>
      </c>
      <c r="L50" s="4">
        <v>386941.02083333302</v>
      </c>
      <c r="M50" s="4">
        <v>50885.394520547998</v>
      </c>
      <c r="N50" s="4" t="s">
        <v>54</v>
      </c>
      <c r="O50" s="4">
        <v>0.29559204463169397</v>
      </c>
      <c r="P50" s="4">
        <v>0.19103605971417201</v>
      </c>
    </row>
    <row r="51" spans="1:16">
      <c r="A51" s="4" t="s">
        <v>141</v>
      </c>
      <c r="B51" s="4" t="s">
        <v>30</v>
      </c>
      <c r="C51" s="4" t="s">
        <v>142</v>
      </c>
      <c r="D51" s="4" t="s">
        <v>41</v>
      </c>
      <c r="E51" s="4" t="s">
        <v>42</v>
      </c>
      <c r="F51" s="4" t="s">
        <v>34</v>
      </c>
      <c r="G51" s="4">
        <v>1</v>
      </c>
      <c r="H51" s="4">
        <v>370</v>
      </c>
      <c r="I51" s="4">
        <v>18568129</v>
      </c>
      <c r="J51" s="4">
        <v>48</v>
      </c>
      <c r="K51" s="4">
        <v>7.7083333333333304</v>
      </c>
      <c r="L51" s="4">
        <v>386836.02083333302</v>
      </c>
      <c r="M51" s="4">
        <v>50184.132432432401</v>
      </c>
      <c r="N51" s="4" t="s">
        <v>68</v>
      </c>
      <c r="O51" s="4">
        <v>0.34046607496102599</v>
      </c>
      <c r="P51" s="4">
        <v>0.23185908579997899</v>
      </c>
    </row>
    <row r="52" spans="1:16">
      <c r="A52" s="4" t="s">
        <v>143</v>
      </c>
      <c r="B52" s="4" t="s">
        <v>30</v>
      </c>
      <c r="C52" s="4" t="s">
        <v>144</v>
      </c>
      <c r="D52" s="4" t="s">
        <v>32</v>
      </c>
      <c r="E52" s="4" t="s">
        <v>67</v>
      </c>
      <c r="F52" s="4" t="s">
        <v>34</v>
      </c>
      <c r="G52" s="4">
        <v>1</v>
      </c>
      <c r="H52" s="4">
        <v>370</v>
      </c>
      <c r="I52" s="4">
        <v>18546157</v>
      </c>
      <c r="J52" s="4">
        <v>48</v>
      </c>
      <c r="K52" s="4">
        <v>7.7083333333333304</v>
      </c>
      <c r="L52" s="4">
        <v>386378.27083333302</v>
      </c>
      <c r="M52" s="4">
        <v>50124.748648648703</v>
      </c>
      <c r="N52" s="4" t="s">
        <v>68</v>
      </c>
      <c r="O52" s="4">
        <v>0.22368483131033601</v>
      </c>
      <c r="P52" s="4">
        <v>0.17863457103848401</v>
      </c>
    </row>
    <row r="53" spans="1:16">
      <c r="A53" s="4" t="s">
        <v>145</v>
      </c>
      <c r="B53" s="4" t="s">
        <v>30</v>
      </c>
      <c r="C53" s="4" t="s">
        <v>146</v>
      </c>
      <c r="D53" s="4" t="s">
        <v>41</v>
      </c>
      <c r="E53" s="4" t="s">
        <v>50</v>
      </c>
      <c r="F53" s="4" t="s">
        <v>34</v>
      </c>
      <c r="G53" s="4">
        <v>1</v>
      </c>
      <c r="H53" s="4">
        <v>392</v>
      </c>
      <c r="I53" s="4">
        <v>18531755</v>
      </c>
      <c r="J53" s="4">
        <v>48</v>
      </c>
      <c r="K53" s="4">
        <v>8.1666666666666696</v>
      </c>
      <c r="L53" s="4">
        <v>386078.22916666698</v>
      </c>
      <c r="M53" s="4">
        <v>47274.885204081598</v>
      </c>
      <c r="N53" s="4" t="s">
        <v>54</v>
      </c>
      <c r="O53" s="4">
        <v>0.274619376308396</v>
      </c>
      <c r="P53" s="4">
        <v>0.18331146172721199</v>
      </c>
    </row>
    <row r="54" spans="1:16">
      <c r="A54" s="4" t="s">
        <v>147</v>
      </c>
      <c r="B54" s="4" t="s">
        <v>30</v>
      </c>
      <c r="C54" s="4" t="s">
        <v>148</v>
      </c>
      <c r="D54" s="4" t="s">
        <v>41</v>
      </c>
      <c r="E54" s="4" t="s">
        <v>42</v>
      </c>
      <c r="F54" s="4" t="s">
        <v>34</v>
      </c>
      <c r="G54" s="4">
        <v>1</v>
      </c>
      <c r="H54" s="4">
        <v>386</v>
      </c>
      <c r="I54" s="4">
        <v>18530700</v>
      </c>
      <c r="J54" s="4">
        <v>48</v>
      </c>
      <c r="K54" s="4">
        <v>8.0416666666666696</v>
      </c>
      <c r="L54" s="4">
        <v>386056.25</v>
      </c>
      <c r="M54" s="4">
        <v>48006.9948186529</v>
      </c>
      <c r="N54" s="4" t="s">
        <v>68</v>
      </c>
      <c r="O54" s="4">
        <v>0.25837167511211101</v>
      </c>
      <c r="P54" s="4">
        <v>0.17970794203599399</v>
      </c>
    </row>
    <row r="55" spans="1:16">
      <c r="A55" s="4" t="s">
        <v>149</v>
      </c>
      <c r="B55" s="4" t="s">
        <v>30</v>
      </c>
      <c r="C55" s="4" t="s">
        <v>150</v>
      </c>
      <c r="D55" s="4" t="s">
        <v>32</v>
      </c>
      <c r="E55" s="4" t="s">
        <v>67</v>
      </c>
      <c r="F55" s="4" t="s">
        <v>34</v>
      </c>
      <c r="G55" s="4">
        <v>1</v>
      </c>
      <c r="H55" s="4">
        <v>384</v>
      </c>
      <c r="I55" s="4">
        <v>18523791</v>
      </c>
      <c r="J55" s="4">
        <v>48</v>
      </c>
      <c r="K55" s="4">
        <v>8</v>
      </c>
      <c r="L55" s="4">
        <v>385912.3125</v>
      </c>
      <c r="M55" s="4">
        <v>48239.0390625</v>
      </c>
      <c r="N55" s="4" t="s">
        <v>47</v>
      </c>
      <c r="O55" s="4">
        <v>0.32514694211352302</v>
      </c>
      <c r="P55" s="4">
        <v>0.20579521988528801</v>
      </c>
    </row>
    <row r="56" spans="1:16">
      <c r="A56" s="4" t="s">
        <v>151</v>
      </c>
      <c r="B56" s="4" t="s">
        <v>30</v>
      </c>
      <c r="C56" s="4" t="s">
        <v>152</v>
      </c>
      <c r="D56" s="4" t="s">
        <v>32</v>
      </c>
      <c r="E56" s="4" t="s">
        <v>67</v>
      </c>
      <c r="F56" s="4" t="s">
        <v>34</v>
      </c>
      <c r="G56" s="4">
        <v>1</v>
      </c>
      <c r="H56" s="4">
        <v>393</v>
      </c>
      <c r="I56" s="4">
        <v>18496533</v>
      </c>
      <c r="J56" s="4">
        <v>48</v>
      </c>
      <c r="K56" s="4">
        <v>8.1875</v>
      </c>
      <c r="L56" s="4">
        <v>385344.4375</v>
      </c>
      <c r="M56" s="4">
        <v>47064.969465648901</v>
      </c>
      <c r="N56" s="4" t="s">
        <v>51</v>
      </c>
      <c r="O56" s="4">
        <v>0.251842656134531</v>
      </c>
      <c r="P56" s="4">
        <v>0.20199412461066099</v>
      </c>
    </row>
    <row r="57" spans="1:16">
      <c r="A57" s="4" t="s">
        <v>153</v>
      </c>
      <c r="B57" s="4" t="s">
        <v>30</v>
      </c>
      <c r="C57" s="4" t="s">
        <v>154</v>
      </c>
      <c r="D57" s="4" t="s">
        <v>41</v>
      </c>
      <c r="E57" s="4" t="s">
        <v>42</v>
      </c>
      <c r="F57" s="4" t="s">
        <v>34</v>
      </c>
      <c r="G57" s="4">
        <v>1</v>
      </c>
      <c r="H57" s="4">
        <v>400</v>
      </c>
      <c r="I57" s="4">
        <v>18492869</v>
      </c>
      <c r="J57" s="4">
        <v>48</v>
      </c>
      <c r="K57" s="4">
        <v>8.3333333333333304</v>
      </c>
      <c r="L57" s="4">
        <v>385268.10416666698</v>
      </c>
      <c r="M57" s="4">
        <v>46232.172500000001</v>
      </c>
      <c r="N57" s="4" t="s">
        <v>47</v>
      </c>
      <c r="O57" s="4">
        <v>0.233545049175442</v>
      </c>
      <c r="P57" s="4">
        <v>0.18496688510638101</v>
      </c>
    </row>
    <row r="58" spans="1:16">
      <c r="A58" s="4" t="s">
        <v>155</v>
      </c>
      <c r="B58" s="4" t="s">
        <v>30</v>
      </c>
      <c r="C58" s="4" t="s">
        <v>156</v>
      </c>
      <c r="D58" s="4" t="s">
        <v>41</v>
      </c>
      <c r="E58" s="4" t="s">
        <v>50</v>
      </c>
      <c r="F58" s="4" t="s">
        <v>34</v>
      </c>
      <c r="G58" s="4">
        <v>1</v>
      </c>
      <c r="H58" s="4">
        <v>422</v>
      </c>
      <c r="I58" s="4">
        <v>18476676</v>
      </c>
      <c r="J58" s="4">
        <v>48</v>
      </c>
      <c r="K58" s="4">
        <v>8.7916666666666696</v>
      </c>
      <c r="L58" s="4">
        <v>384930.75</v>
      </c>
      <c r="M58" s="4">
        <v>43783.592417061598</v>
      </c>
      <c r="N58" s="4" t="s">
        <v>38</v>
      </c>
      <c r="O58" s="4">
        <v>0.244912450702713</v>
      </c>
      <c r="P58" s="4">
        <v>0.18079419899999899</v>
      </c>
    </row>
    <row r="59" spans="1:16">
      <c r="A59" s="4" t="s">
        <v>157</v>
      </c>
      <c r="B59" s="4" t="s">
        <v>30</v>
      </c>
      <c r="C59" s="4" t="s">
        <v>158</v>
      </c>
      <c r="D59" s="4" t="s">
        <v>32</v>
      </c>
      <c r="E59" s="4" t="s">
        <v>33</v>
      </c>
      <c r="F59" s="4" t="s">
        <v>34</v>
      </c>
      <c r="G59" s="4">
        <v>1</v>
      </c>
      <c r="H59" s="4">
        <v>389</v>
      </c>
      <c r="I59" s="4">
        <v>18473363</v>
      </c>
      <c r="J59" s="4">
        <v>48</v>
      </c>
      <c r="K59" s="4">
        <v>8.1041666666666696</v>
      </c>
      <c r="L59" s="4">
        <v>384861.72916666698</v>
      </c>
      <c r="M59" s="4">
        <v>47489.365038560398</v>
      </c>
      <c r="N59" s="4" t="s">
        <v>54</v>
      </c>
      <c r="O59" s="4">
        <v>0.40625218050443801</v>
      </c>
      <c r="P59" s="4">
        <v>0.23883304498503599</v>
      </c>
    </row>
    <row r="60" spans="1:16">
      <c r="A60" s="4" t="s">
        <v>159</v>
      </c>
      <c r="B60" s="4" t="s">
        <v>30</v>
      </c>
      <c r="C60" s="4" t="s">
        <v>160</v>
      </c>
      <c r="D60" s="4" t="s">
        <v>41</v>
      </c>
      <c r="E60" s="4" t="s">
        <v>42</v>
      </c>
      <c r="F60" s="4" t="s">
        <v>34</v>
      </c>
      <c r="G60" s="4">
        <v>1</v>
      </c>
      <c r="H60" s="4">
        <v>399</v>
      </c>
      <c r="I60" s="4">
        <v>18470960</v>
      </c>
      <c r="J60" s="4">
        <v>48</v>
      </c>
      <c r="K60" s="4">
        <v>8.3125</v>
      </c>
      <c r="L60" s="4">
        <v>384811.66666666698</v>
      </c>
      <c r="M60" s="4">
        <v>46293.132832080199</v>
      </c>
      <c r="N60" s="4" t="s">
        <v>51</v>
      </c>
      <c r="O60" s="4">
        <v>0.36141537851849598</v>
      </c>
      <c r="P60" s="4">
        <v>0.22081632510705801</v>
      </c>
    </row>
    <row r="61" spans="1:16">
      <c r="A61" s="4" t="s">
        <v>161</v>
      </c>
      <c r="B61" s="4" t="s">
        <v>30</v>
      </c>
      <c r="C61" s="4" t="s">
        <v>162</v>
      </c>
      <c r="D61" s="4" t="s">
        <v>32</v>
      </c>
      <c r="E61" s="4" t="s">
        <v>67</v>
      </c>
      <c r="F61" s="4" t="s">
        <v>34</v>
      </c>
      <c r="G61" s="4">
        <v>1</v>
      </c>
      <c r="H61" s="4">
        <v>378</v>
      </c>
      <c r="I61" s="4">
        <v>18456035.813765202</v>
      </c>
      <c r="J61" s="4">
        <v>48</v>
      </c>
      <c r="K61" s="4">
        <v>7.875</v>
      </c>
      <c r="L61" s="4">
        <v>384500.746120108</v>
      </c>
      <c r="M61" s="4">
        <v>48825.491570807397</v>
      </c>
      <c r="N61" s="4" t="s">
        <v>54</v>
      </c>
      <c r="O61" s="4">
        <v>0.28398400679797697</v>
      </c>
      <c r="P61" s="4">
        <v>0.198508794809477</v>
      </c>
    </row>
    <row r="62" spans="1:16">
      <c r="A62" s="4" t="s">
        <v>163</v>
      </c>
      <c r="B62" s="4" t="s">
        <v>30</v>
      </c>
      <c r="C62" s="4" t="s">
        <v>164</v>
      </c>
      <c r="D62" s="4" t="s">
        <v>32</v>
      </c>
      <c r="E62" s="4" t="s">
        <v>67</v>
      </c>
      <c r="F62" s="4" t="s">
        <v>34</v>
      </c>
      <c r="G62" s="4">
        <v>1</v>
      </c>
      <c r="H62" s="4">
        <v>382</v>
      </c>
      <c r="I62" s="4">
        <v>18452148</v>
      </c>
      <c r="J62" s="4">
        <v>48</v>
      </c>
      <c r="K62" s="4">
        <v>7.9583333333333304</v>
      </c>
      <c r="L62" s="4">
        <v>384419.75</v>
      </c>
      <c r="M62" s="4">
        <v>48304.052356020897</v>
      </c>
      <c r="N62" s="4" t="s">
        <v>54</v>
      </c>
      <c r="O62" s="4">
        <v>0.36445924886360098</v>
      </c>
      <c r="P62" s="4">
        <v>0.22122613719204401</v>
      </c>
    </row>
    <row r="63" spans="1:16">
      <c r="A63" s="4" t="s">
        <v>165</v>
      </c>
      <c r="B63" s="4" t="s">
        <v>30</v>
      </c>
      <c r="C63" s="4" t="s">
        <v>166</v>
      </c>
      <c r="D63" s="4" t="s">
        <v>41</v>
      </c>
      <c r="E63" s="4" t="s">
        <v>42</v>
      </c>
      <c r="F63" s="4" t="s">
        <v>34</v>
      </c>
      <c r="G63" s="4">
        <v>1</v>
      </c>
      <c r="H63" s="4">
        <v>350</v>
      </c>
      <c r="I63" s="4">
        <v>18451676</v>
      </c>
      <c r="J63" s="4">
        <v>48</v>
      </c>
      <c r="K63" s="4">
        <v>7.2916666666666696</v>
      </c>
      <c r="L63" s="4">
        <v>384409.91666666698</v>
      </c>
      <c r="M63" s="4">
        <v>52719.074285714298</v>
      </c>
      <c r="N63" s="4" t="s">
        <v>54</v>
      </c>
      <c r="O63" s="4">
        <v>0.25288770516022502</v>
      </c>
      <c r="P63" s="4">
        <v>0.18850926188987399</v>
      </c>
    </row>
    <row r="64" spans="1:16">
      <c r="A64" s="4" t="s">
        <v>167</v>
      </c>
      <c r="B64" s="4" t="s">
        <v>30</v>
      </c>
      <c r="C64" s="4" t="s">
        <v>168</v>
      </c>
      <c r="D64" s="4" t="s">
        <v>32</v>
      </c>
      <c r="E64" s="4" t="s">
        <v>67</v>
      </c>
      <c r="F64" s="4" t="s">
        <v>34</v>
      </c>
      <c r="G64" s="4">
        <v>1</v>
      </c>
      <c r="H64" s="4">
        <v>406</v>
      </c>
      <c r="I64" s="4">
        <v>18414251</v>
      </c>
      <c r="J64" s="4">
        <v>48</v>
      </c>
      <c r="K64" s="4">
        <v>8.4583333333333304</v>
      </c>
      <c r="L64" s="4">
        <v>383630.22916666698</v>
      </c>
      <c r="M64" s="4">
        <v>45355.298029556703</v>
      </c>
      <c r="N64" s="4" t="s">
        <v>51</v>
      </c>
      <c r="O64" s="4">
        <v>0.41321637247151699</v>
      </c>
      <c r="P64" s="4">
        <v>0.26274494033861301</v>
      </c>
    </row>
    <row r="65" spans="1:16">
      <c r="A65" s="4" t="s">
        <v>169</v>
      </c>
      <c r="B65" s="4" t="s">
        <v>30</v>
      </c>
      <c r="C65" s="4" t="s">
        <v>170</v>
      </c>
      <c r="D65" s="4" t="s">
        <v>32</v>
      </c>
      <c r="E65" s="4" t="s">
        <v>33</v>
      </c>
      <c r="F65" s="4" t="s">
        <v>34</v>
      </c>
      <c r="G65" s="4">
        <v>1</v>
      </c>
      <c r="H65" s="4">
        <v>408</v>
      </c>
      <c r="I65" s="4">
        <v>18389344</v>
      </c>
      <c r="J65" s="4">
        <v>48</v>
      </c>
      <c r="K65" s="4">
        <v>8.5</v>
      </c>
      <c r="L65" s="4">
        <v>383111.33333333302</v>
      </c>
      <c r="M65" s="4">
        <v>45071.921568627498</v>
      </c>
      <c r="N65" s="4" t="s">
        <v>54</v>
      </c>
      <c r="O65" s="4">
        <v>0.33106689395771799</v>
      </c>
      <c r="P65" s="4">
        <v>0.21180595293944099</v>
      </c>
    </row>
    <row r="66" spans="1:16">
      <c r="A66" s="4" t="s">
        <v>171</v>
      </c>
      <c r="B66" s="4" t="s">
        <v>30</v>
      </c>
      <c r="C66" s="4" t="s">
        <v>172</v>
      </c>
      <c r="D66" s="4" t="s">
        <v>41</v>
      </c>
      <c r="E66" s="4" t="s">
        <v>50</v>
      </c>
      <c r="F66" s="4" t="s">
        <v>34</v>
      </c>
      <c r="G66" s="4">
        <v>1</v>
      </c>
      <c r="H66" s="4">
        <v>376</v>
      </c>
      <c r="I66" s="4">
        <v>18361211</v>
      </c>
      <c r="J66" s="4">
        <v>48</v>
      </c>
      <c r="K66" s="4">
        <v>7.8333333333333304</v>
      </c>
      <c r="L66" s="4">
        <v>382525.22916666698</v>
      </c>
      <c r="M66" s="4">
        <v>48833.007978723399</v>
      </c>
      <c r="N66" s="4" t="s">
        <v>51</v>
      </c>
      <c r="O66" s="4">
        <v>0.278514091472507</v>
      </c>
      <c r="P66" s="4">
        <v>0.188154948796602</v>
      </c>
    </row>
    <row r="67" spans="1:16">
      <c r="A67" s="4" t="s">
        <v>173</v>
      </c>
      <c r="B67" s="4" t="s">
        <v>30</v>
      </c>
      <c r="C67" s="4" t="s">
        <v>174</v>
      </c>
      <c r="D67" s="4" t="s">
        <v>41</v>
      </c>
      <c r="E67" s="4" t="s">
        <v>50</v>
      </c>
      <c r="F67" s="4" t="s">
        <v>34</v>
      </c>
      <c r="G67" s="4">
        <v>1</v>
      </c>
      <c r="H67" s="4">
        <v>385</v>
      </c>
      <c r="I67" s="4">
        <v>18358327</v>
      </c>
      <c r="J67" s="4">
        <v>48</v>
      </c>
      <c r="K67" s="4">
        <v>8.0208333333333304</v>
      </c>
      <c r="L67" s="4">
        <v>382465.14583333302</v>
      </c>
      <c r="M67" s="4">
        <v>47683.966233766201</v>
      </c>
      <c r="N67" s="4" t="s">
        <v>68</v>
      </c>
      <c r="O67" s="4">
        <v>0.34776834512207999</v>
      </c>
      <c r="P67" s="4">
        <v>0.22116811303152401</v>
      </c>
    </row>
    <row r="68" spans="1:16">
      <c r="A68" s="4" t="s">
        <v>175</v>
      </c>
      <c r="B68" s="4" t="s">
        <v>30</v>
      </c>
      <c r="C68" s="4" t="s">
        <v>176</v>
      </c>
      <c r="D68" s="4" t="s">
        <v>32</v>
      </c>
      <c r="E68" s="4" t="s">
        <v>67</v>
      </c>
      <c r="F68" s="4" t="s">
        <v>34</v>
      </c>
      <c r="G68" s="4">
        <v>1</v>
      </c>
      <c r="H68" s="4">
        <v>368</v>
      </c>
      <c r="I68" s="4">
        <v>18353020</v>
      </c>
      <c r="J68" s="4">
        <v>48</v>
      </c>
      <c r="K68" s="4">
        <v>7.6666666666666696</v>
      </c>
      <c r="L68" s="4">
        <v>382354.58333333302</v>
      </c>
      <c r="M68" s="4">
        <v>49872.3369565217</v>
      </c>
      <c r="N68" s="4" t="s">
        <v>54</v>
      </c>
      <c r="O68" s="4">
        <v>0.24955222628210499</v>
      </c>
      <c r="P68" s="4">
        <v>0.19876766840969301</v>
      </c>
    </row>
    <row r="69" spans="1:16">
      <c r="A69" s="4" t="s">
        <v>177</v>
      </c>
      <c r="B69" s="4" t="s">
        <v>30</v>
      </c>
      <c r="C69" s="4" t="s">
        <v>178</v>
      </c>
      <c r="D69" s="4" t="s">
        <v>32</v>
      </c>
      <c r="E69" s="4" t="s">
        <v>33</v>
      </c>
      <c r="F69" s="4" t="s">
        <v>34</v>
      </c>
      <c r="G69" s="4">
        <v>1</v>
      </c>
      <c r="H69" s="4">
        <v>397</v>
      </c>
      <c r="I69" s="4">
        <v>18351514</v>
      </c>
      <c r="J69" s="4">
        <v>48</v>
      </c>
      <c r="K69" s="4">
        <v>8.2708333333333304</v>
      </c>
      <c r="L69" s="4">
        <v>382323.20833333302</v>
      </c>
      <c r="M69" s="4">
        <v>46225.476070529003</v>
      </c>
      <c r="N69" s="4" t="s">
        <v>38</v>
      </c>
      <c r="O69" s="4">
        <v>0.38630131552088798</v>
      </c>
      <c r="P69" s="4">
        <v>0.23265293456129801</v>
      </c>
    </row>
    <row r="70" spans="1:16">
      <c r="A70" s="4" t="s">
        <v>179</v>
      </c>
      <c r="B70" s="4" t="s">
        <v>30</v>
      </c>
      <c r="C70" s="4" t="s">
        <v>180</v>
      </c>
      <c r="D70" s="4" t="s">
        <v>41</v>
      </c>
      <c r="E70" s="4" t="s">
        <v>42</v>
      </c>
      <c r="F70" s="4" t="s">
        <v>34</v>
      </c>
      <c r="G70" s="4">
        <v>1</v>
      </c>
      <c r="H70" s="4">
        <v>382</v>
      </c>
      <c r="I70" s="4">
        <v>18345826</v>
      </c>
      <c r="J70" s="4">
        <v>48</v>
      </c>
      <c r="K70" s="4">
        <v>7.9583333333333304</v>
      </c>
      <c r="L70" s="4">
        <v>382204.70833333302</v>
      </c>
      <c r="M70" s="4">
        <v>48025.722513089</v>
      </c>
      <c r="N70" s="4" t="s">
        <v>38</v>
      </c>
      <c r="O70" s="4">
        <v>0.22124885518918599</v>
      </c>
      <c r="P70" s="4">
        <v>0.178902539882902</v>
      </c>
    </row>
    <row r="71" spans="1:16">
      <c r="A71" s="4" t="s">
        <v>181</v>
      </c>
      <c r="B71" s="4" t="s">
        <v>30</v>
      </c>
      <c r="C71" s="4" t="s">
        <v>182</v>
      </c>
      <c r="D71" s="4" t="s">
        <v>41</v>
      </c>
      <c r="E71" s="4" t="s">
        <v>50</v>
      </c>
      <c r="F71" s="4" t="s">
        <v>34</v>
      </c>
      <c r="G71" s="4">
        <v>1</v>
      </c>
      <c r="H71" s="4">
        <v>409</v>
      </c>
      <c r="I71" s="4">
        <v>18297390</v>
      </c>
      <c r="J71" s="4">
        <v>48</v>
      </c>
      <c r="K71" s="4">
        <v>8.5208333333333304</v>
      </c>
      <c r="L71" s="4">
        <v>381195.625</v>
      </c>
      <c r="M71" s="4">
        <v>44736.894865525697</v>
      </c>
      <c r="N71" s="4" t="s">
        <v>51</v>
      </c>
      <c r="O71" s="4">
        <v>0.25416302543696101</v>
      </c>
      <c r="P71" s="4">
        <v>0.185224401968376</v>
      </c>
    </row>
    <row r="72" spans="1:16">
      <c r="A72" s="4" t="s">
        <v>183</v>
      </c>
      <c r="B72" s="4" t="s">
        <v>30</v>
      </c>
      <c r="C72" s="4" t="s">
        <v>184</v>
      </c>
      <c r="D72" s="4" t="s">
        <v>41</v>
      </c>
      <c r="E72" s="4" t="s">
        <v>50</v>
      </c>
      <c r="F72" s="4" t="s">
        <v>34</v>
      </c>
      <c r="G72" s="4">
        <v>1</v>
      </c>
      <c r="H72" s="4">
        <v>385</v>
      </c>
      <c r="I72" s="4">
        <v>18293117</v>
      </c>
      <c r="J72" s="4">
        <v>48</v>
      </c>
      <c r="K72" s="4">
        <v>8.0208333333333304</v>
      </c>
      <c r="L72" s="4">
        <v>381106.60416666698</v>
      </c>
      <c r="M72" s="4">
        <v>47514.589610389601</v>
      </c>
      <c r="N72" s="4" t="s">
        <v>68</v>
      </c>
      <c r="O72" s="4">
        <v>0.325140051310009</v>
      </c>
      <c r="P72" s="4">
        <v>0.21427754125373399</v>
      </c>
    </row>
    <row r="73" spans="1:16">
      <c r="A73" s="4" t="s">
        <v>185</v>
      </c>
      <c r="B73" s="4" t="s">
        <v>30</v>
      </c>
      <c r="C73" s="4" t="s">
        <v>186</v>
      </c>
      <c r="D73" s="4" t="s">
        <v>41</v>
      </c>
      <c r="E73" s="4" t="s">
        <v>50</v>
      </c>
      <c r="F73" s="4" t="s">
        <v>34</v>
      </c>
      <c r="G73" s="4">
        <v>1</v>
      </c>
      <c r="H73" s="4">
        <v>395</v>
      </c>
      <c r="I73" s="4">
        <v>18286334</v>
      </c>
      <c r="J73" s="4">
        <v>48</v>
      </c>
      <c r="K73" s="4">
        <v>8.2291666666666696</v>
      </c>
      <c r="L73" s="4">
        <v>380965.29166666698</v>
      </c>
      <c r="M73" s="4">
        <v>46294.516455696197</v>
      </c>
      <c r="N73" s="4" t="s">
        <v>51</v>
      </c>
      <c r="O73" s="4">
        <v>0.32262880028331498</v>
      </c>
      <c r="P73" s="4">
        <v>0.25137396566685699</v>
      </c>
    </row>
    <row r="74" spans="1:16">
      <c r="A74" s="4" t="s">
        <v>187</v>
      </c>
      <c r="B74" s="4" t="s">
        <v>30</v>
      </c>
      <c r="C74" s="4" t="s">
        <v>188</v>
      </c>
      <c r="D74" s="4" t="s">
        <v>32</v>
      </c>
      <c r="E74" s="4" t="s">
        <v>67</v>
      </c>
      <c r="F74" s="4" t="s">
        <v>34</v>
      </c>
      <c r="G74" s="4">
        <v>1</v>
      </c>
      <c r="H74" s="4">
        <v>364</v>
      </c>
      <c r="I74" s="4">
        <v>18272447</v>
      </c>
      <c r="J74" s="4">
        <v>48</v>
      </c>
      <c r="K74" s="4">
        <v>7.5833333333333304</v>
      </c>
      <c r="L74" s="4">
        <v>380675.97916666698</v>
      </c>
      <c r="M74" s="4">
        <v>50199.030219780201</v>
      </c>
      <c r="N74" s="4" t="s">
        <v>35</v>
      </c>
      <c r="O74" s="4">
        <v>0.35653993140601298</v>
      </c>
      <c r="P74" s="4">
        <v>0.231870713235764</v>
      </c>
    </row>
    <row r="75" spans="1:16">
      <c r="A75" s="4" t="s">
        <v>189</v>
      </c>
      <c r="B75" s="4" t="s">
        <v>30</v>
      </c>
      <c r="C75" s="4" t="s">
        <v>190</v>
      </c>
      <c r="D75" s="4" t="s">
        <v>32</v>
      </c>
      <c r="E75" s="4" t="s">
        <v>33</v>
      </c>
      <c r="F75" s="4" t="s">
        <v>34</v>
      </c>
      <c r="G75" s="4">
        <v>1</v>
      </c>
      <c r="H75" s="4">
        <v>401</v>
      </c>
      <c r="I75" s="4">
        <v>18245919</v>
      </c>
      <c r="J75" s="4">
        <v>48</v>
      </c>
      <c r="K75" s="4">
        <v>8.3541666666666696</v>
      </c>
      <c r="L75" s="4">
        <v>380123.3125</v>
      </c>
      <c r="M75" s="4">
        <v>45501.044887780597</v>
      </c>
      <c r="N75" s="4" t="s">
        <v>68</v>
      </c>
      <c r="O75" s="4">
        <v>0.26697767319914101</v>
      </c>
      <c r="P75" s="4">
        <v>0.18195733207897399</v>
      </c>
    </row>
    <row r="76" spans="1:16">
      <c r="A76" s="4" t="s">
        <v>191</v>
      </c>
      <c r="B76" s="4" t="s">
        <v>30</v>
      </c>
      <c r="C76" s="4" t="s">
        <v>192</v>
      </c>
      <c r="D76" s="4" t="s">
        <v>32</v>
      </c>
      <c r="E76" s="4" t="s">
        <v>67</v>
      </c>
      <c r="F76" s="4" t="s">
        <v>34</v>
      </c>
      <c r="G76" s="4">
        <v>1</v>
      </c>
      <c r="H76" s="4">
        <v>381</v>
      </c>
      <c r="I76" s="4">
        <v>18232829</v>
      </c>
      <c r="J76" s="4">
        <v>48</v>
      </c>
      <c r="K76" s="4">
        <v>7.9375</v>
      </c>
      <c r="L76" s="4">
        <v>379850.60416666698</v>
      </c>
      <c r="M76" s="4">
        <v>47855.194225721803</v>
      </c>
      <c r="N76" s="4" t="s">
        <v>51</v>
      </c>
      <c r="O76" s="4">
        <v>0.38383555289198401</v>
      </c>
      <c r="P76" s="4">
        <v>0.24034703975834401</v>
      </c>
    </row>
    <row r="77" spans="1:16">
      <c r="A77" s="4" t="s">
        <v>193</v>
      </c>
      <c r="B77" s="4" t="s">
        <v>30</v>
      </c>
      <c r="C77" s="4" t="s">
        <v>194</v>
      </c>
      <c r="D77" s="4" t="s">
        <v>41</v>
      </c>
      <c r="E77" s="4" t="s">
        <v>42</v>
      </c>
      <c r="F77" s="4" t="s">
        <v>34</v>
      </c>
      <c r="G77" s="4">
        <v>1</v>
      </c>
      <c r="H77" s="4">
        <v>400</v>
      </c>
      <c r="I77" s="4">
        <v>18213409</v>
      </c>
      <c r="J77" s="4">
        <v>48</v>
      </c>
      <c r="K77" s="4">
        <v>8.3333333333333304</v>
      </c>
      <c r="L77" s="4">
        <v>379446.02083333302</v>
      </c>
      <c r="M77" s="4">
        <v>45533.522499999999</v>
      </c>
      <c r="N77" s="4" t="s">
        <v>35</v>
      </c>
      <c r="O77" s="4">
        <v>0.21671159967911599</v>
      </c>
      <c r="P77" s="4">
        <v>0.17380554032995399</v>
      </c>
    </row>
    <row r="78" spans="1:16">
      <c r="A78" s="4" t="s">
        <v>195</v>
      </c>
      <c r="B78" s="4" t="s">
        <v>30</v>
      </c>
      <c r="C78" s="4" t="s">
        <v>196</v>
      </c>
      <c r="D78" s="4" t="s">
        <v>41</v>
      </c>
      <c r="E78" s="4" t="s">
        <v>50</v>
      </c>
      <c r="F78" s="4" t="s">
        <v>34</v>
      </c>
      <c r="G78" s="4">
        <v>1</v>
      </c>
      <c r="H78" s="4">
        <v>408</v>
      </c>
      <c r="I78" s="4">
        <v>18179497</v>
      </c>
      <c r="J78" s="4">
        <v>48</v>
      </c>
      <c r="K78" s="4">
        <v>8.5</v>
      </c>
      <c r="L78" s="4">
        <v>378739.52083333302</v>
      </c>
      <c r="M78" s="4">
        <v>44557.590686274503</v>
      </c>
      <c r="N78" s="4" t="s">
        <v>35</v>
      </c>
      <c r="O78" s="4">
        <v>0.25510887347433198</v>
      </c>
      <c r="P78" s="4">
        <v>0.18433272149835001</v>
      </c>
    </row>
    <row r="79" spans="1:16">
      <c r="A79" s="4" t="s">
        <v>197</v>
      </c>
      <c r="B79" s="4" t="s">
        <v>30</v>
      </c>
      <c r="C79" s="4" t="s">
        <v>198</v>
      </c>
      <c r="D79" s="4" t="s">
        <v>41</v>
      </c>
      <c r="E79" s="4" t="s">
        <v>42</v>
      </c>
      <c r="F79" s="4" t="s">
        <v>34</v>
      </c>
      <c r="G79" s="4">
        <v>1</v>
      </c>
      <c r="H79" s="4">
        <v>388</v>
      </c>
      <c r="I79" s="4">
        <v>18156445.25</v>
      </c>
      <c r="J79" s="4">
        <v>48</v>
      </c>
      <c r="K79" s="4">
        <v>8.0833333333333304</v>
      </c>
      <c r="L79" s="4">
        <v>378259.27604166698</v>
      </c>
      <c r="M79" s="4">
        <v>46794.961984536101</v>
      </c>
      <c r="N79" s="4" t="s">
        <v>54</v>
      </c>
      <c r="O79" s="4">
        <v>0.26085067505160497</v>
      </c>
      <c r="P79" s="4">
        <v>0.20019554154342201</v>
      </c>
    </row>
    <row r="80" spans="1:16">
      <c r="A80" s="4" t="s">
        <v>199</v>
      </c>
      <c r="B80" s="4" t="s">
        <v>30</v>
      </c>
      <c r="C80" s="4" t="s">
        <v>200</v>
      </c>
      <c r="D80" s="4" t="s">
        <v>41</v>
      </c>
      <c r="E80" s="4" t="s">
        <v>42</v>
      </c>
      <c r="F80" s="4" t="s">
        <v>34</v>
      </c>
      <c r="G80" s="4">
        <v>1</v>
      </c>
      <c r="H80" s="4">
        <v>405</v>
      </c>
      <c r="I80" s="4">
        <v>18137914</v>
      </c>
      <c r="J80" s="4">
        <v>48</v>
      </c>
      <c r="K80" s="4">
        <v>8.4375</v>
      </c>
      <c r="L80" s="4">
        <v>377873.20833333302</v>
      </c>
      <c r="M80" s="4">
        <v>44784.972839506197</v>
      </c>
      <c r="N80" s="4" t="s">
        <v>47</v>
      </c>
      <c r="O80" s="4">
        <v>0.43996757289730198</v>
      </c>
      <c r="P80" s="4">
        <v>0.25987094856262399</v>
      </c>
    </row>
    <row r="81" spans="1:16">
      <c r="A81" s="4" t="s">
        <v>201</v>
      </c>
      <c r="B81" s="4" t="s">
        <v>30</v>
      </c>
      <c r="C81" s="4" t="s">
        <v>202</v>
      </c>
      <c r="D81" s="4" t="s">
        <v>32</v>
      </c>
      <c r="E81" s="4" t="s">
        <v>33</v>
      </c>
      <c r="F81" s="4" t="s">
        <v>34</v>
      </c>
      <c r="G81" s="4">
        <v>1</v>
      </c>
      <c r="H81" s="4">
        <v>395</v>
      </c>
      <c r="I81" s="4">
        <v>18120449</v>
      </c>
      <c r="J81" s="4">
        <v>48</v>
      </c>
      <c r="K81" s="4">
        <v>8.2291666666666696</v>
      </c>
      <c r="L81" s="4">
        <v>377509.35416666698</v>
      </c>
      <c r="M81" s="4">
        <v>45874.5544303797</v>
      </c>
      <c r="N81" s="4" t="s">
        <v>51</v>
      </c>
      <c r="O81" s="4">
        <v>0.28917992043133101</v>
      </c>
      <c r="P81" s="4">
        <v>0.18908274397886299</v>
      </c>
    </row>
    <row r="82" spans="1:16">
      <c r="A82" s="4" t="s">
        <v>203</v>
      </c>
      <c r="B82" s="4" t="s">
        <v>30</v>
      </c>
      <c r="C82" s="4" t="s">
        <v>204</v>
      </c>
      <c r="D82" s="4" t="s">
        <v>32</v>
      </c>
      <c r="E82" s="4" t="s">
        <v>33</v>
      </c>
      <c r="F82" s="4" t="s">
        <v>34</v>
      </c>
      <c r="G82" s="4">
        <v>1</v>
      </c>
      <c r="H82" s="4">
        <v>360</v>
      </c>
      <c r="I82" s="4">
        <v>18104944</v>
      </c>
      <c r="J82" s="4">
        <v>48</v>
      </c>
      <c r="K82" s="4">
        <v>7.5</v>
      </c>
      <c r="L82" s="4">
        <v>377186.33333333302</v>
      </c>
      <c r="M82" s="4">
        <v>50291.511111111096</v>
      </c>
      <c r="N82" s="4" t="s">
        <v>35</v>
      </c>
      <c r="O82" s="4">
        <v>0.27288187138275599</v>
      </c>
      <c r="P82" s="4">
        <v>0.18305146167577899</v>
      </c>
    </row>
    <row r="83" spans="1:16">
      <c r="A83" s="4" t="s">
        <v>205</v>
      </c>
      <c r="B83" s="4" t="s">
        <v>30</v>
      </c>
      <c r="C83" s="4" t="s">
        <v>206</v>
      </c>
      <c r="D83" s="4" t="s">
        <v>41</v>
      </c>
      <c r="E83" s="4" t="s">
        <v>42</v>
      </c>
      <c r="F83" s="4" t="s">
        <v>34</v>
      </c>
      <c r="G83" s="4">
        <v>1</v>
      </c>
      <c r="H83" s="4">
        <v>412</v>
      </c>
      <c r="I83" s="4">
        <v>18099093</v>
      </c>
      <c r="J83" s="4">
        <v>48</v>
      </c>
      <c r="K83" s="4">
        <v>8.5833333333333304</v>
      </c>
      <c r="L83" s="4">
        <v>377064.4375</v>
      </c>
      <c r="M83" s="4">
        <v>43929.837378640797</v>
      </c>
      <c r="N83" s="4" t="s">
        <v>54</v>
      </c>
      <c r="O83" s="4">
        <v>0.30724141811968197</v>
      </c>
      <c r="P83" s="4">
        <v>0.19772617660323799</v>
      </c>
    </row>
    <row r="84" spans="1:16">
      <c r="A84" s="4" t="s">
        <v>207</v>
      </c>
      <c r="B84" s="4" t="s">
        <v>30</v>
      </c>
      <c r="C84" s="4" t="s">
        <v>208</v>
      </c>
      <c r="D84" s="4" t="s">
        <v>32</v>
      </c>
      <c r="E84" s="4" t="s">
        <v>67</v>
      </c>
      <c r="F84" s="4" t="s">
        <v>34</v>
      </c>
      <c r="G84" s="4">
        <v>1</v>
      </c>
      <c r="H84" s="4">
        <v>415</v>
      </c>
      <c r="I84" s="4">
        <v>18095126</v>
      </c>
      <c r="J84" s="4">
        <v>48</v>
      </c>
      <c r="K84" s="4">
        <v>8.6458333333333304</v>
      </c>
      <c r="L84" s="4">
        <v>376981.79166666698</v>
      </c>
      <c r="M84" s="4">
        <v>43602.713253012102</v>
      </c>
      <c r="N84" s="4" t="s">
        <v>54</v>
      </c>
      <c r="O84" s="4">
        <v>0.20488754817181201</v>
      </c>
      <c r="P84" s="4">
        <v>0.17170249084116501</v>
      </c>
    </row>
    <row r="85" spans="1:16">
      <c r="A85" s="4" t="s">
        <v>209</v>
      </c>
      <c r="B85" s="4" t="s">
        <v>30</v>
      </c>
      <c r="C85" s="4" t="s">
        <v>210</v>
      </c>
      <c r="D85" s="4" t="s">
        <v>41</v>
      </c>
      <c r="E85" s="4" t="s">
        <v>42</v>
      </c>
      <c r="F85" s="4" t="s">
        <v>34</v>
      </c>
      <c r="G85" s="4">
        <v>1</v>
      </c>
      <c r="H85" s="4">
        <v>383</v>
      </c>
      <c r="I85" s="4">
        <v>18059065</v>
      </c>
      <c r="J85" s="4">
        <v>48</v>
      </c>
      <c r="K85" s="4">
        <v>7.9791666666666696</v>
      </c>
      <c r="L85" s="4">
        <v>376230.52083333302</v>
      </c>
      <c r="M85" s="4">
        <v>47151.6057441253</v>
      </c>
      <c r="N85" s="4" t="s">
        <v>38</v>
      </c>
      <c r="O85" s="4">
        <v>0.31787642383478898</v>
      </c>
      <c r="P85" s="4">
        <v>0.21151853328873699</v>
      </c>
    </row>
    <row r="86" spans="1:16">
      <c r="A86" s="4" t="s">
        <v>211</v>
      </c>
      <c r="B86" s="4" t="s">
        <v>30</v>
      </c>
      <c r="C86" s="4" t="s">
        <v>212</v>
      </c>
      <c r="D86" s="4" t="s">
        <v>41</v>
      </c>
      <c r="E86" s="4" t="s">
        <v>50</v>
      </c>
      <c r="F86" s="4" t="s">
        <v>34</v>
      </c>
      <c r="G86" s="4">
        <v>1</v>
      </c>
      <c r="H86" s="4">
        <v>391</v>
      </c>
      <c r="I86" s="4">
        <v>18052321</v>
      </c>
      <c r="J86" s="4">
        <v>48</v>
      </c>
      <c r="K86" s="4">
        <v>8.1458333333333304</v>
      </c>
      <c r="L86" s="4">
        <v>376090.02083333302</v>
      </c>
      <c r="M86" s="4">
        <v>46169.618925831201</v>
      </c>
      <c r="N86" s="4" t="s">
        <v>68</v>
      </c>
      <c r="O86" s="4">
        <v>0.29516647748508401</v>
      </c>
      <c r="P86" s="4">
        <v>0.20084997938038099</v>
      </c>
    </row>
    <row r="87" spans="1:16">
      <c r="A87" s="4" t="s">
        <v>213</v>
      </c>
      <c r="B87" s="4" t="s">
        <v>30</v>
      </c>
      <c r="C87" s="4" t="s">
        <v>214</v>
      </c>
      <c r="D87" s="4" t="s">
        <v>41</v>
      </c>
      <c r="E87" s="4" t="s">
        <v>50</v>
      </c>
      <c r="F87" s="4" t="s">
        <v>34</v>
      </c>
      <c r="G87" s="4">
        <v>1</v>
      </c>
      <c r="H87" s="4">
        <v>399</v>
      </c>
      <c r="I87" s="4">
        <v>18012485</v>
      </c>
      <c r="J87" s="4">
        <v>48</v>
      </c>
      <c r="K87" s="4">
        <v>8.3125</v>
      </c>
      <c r="L87" s="4">
        <v>375260.10416666698</v>
      </c>
      <c r="M87" s="4">
        <v>45144.072681704303</v>
      </c>
      <c r="N87" s="4" t="s">
        <v>47</v>
      </c>
      <c r="O87" s="4">
        <v>0.28746461135151502</v>
      </c>
      <c r="P87" s="4">
        <v>0.20062960549749101</v>
      </c>
    </row>
    <row r="88" spans="1:16">
      <c r="A88" s="4" t="s">
        <v>215</v>
      </c>
      <c r="B88" s="4" t="s">
        <v>30</v>
      </c>
      <c r="C88" s="4" t="s">
        <v>216</v>
      </c>
      <c r="D88" s="4" t="s">
        <v>32</v>
      </c>
      <c r="E88" s="4" t="s">
        <v>33</v>
      </c>
      <c r="F88" s="4" t="s">
        <v>34</v>
      </c>
      <c r="G88" s="4">
        <v>1</v>
      </c>
      <c r="H88" s="4">
        <v>418</v>
      </c>
      <c r="I88" s="4">
        <v>17984317</v>
      </c>
      <c r="J88" s="4">
        <v>48</v>
      </c>
      <c r="K88" s="4">
        <v>8.7083333333333304</v>
      </c>
      <c r="L88" s="4">
        <v>374673.27083333302</v>
      </c>
      <c r="M88" s="4">
        <v>43024.681818181802</v>
      </c>
      <c r="N88" s="4" t="s">
        <v>51</v>
      </c>
      <c r="O88" s="4">
        <v>0.24557273984883601</v>
      </c>
      <c r="P88" s="4">
        <v>0.17653766355124101</v>
      </c>
    </row>
    <row r="89" spans="1:16">
      <c r="A89" s="4" t="s">
        <v>217</v>
      </c>
      <c r="B89" s="4" t="s">
        <v>30</v>
      </c>
      <c r="C89" s="4" t="s">
        <v>218</v>
      </c>
      <c r="D89" s="4" t="s">
        <v>32</v>
      </c>
      <c r="E89" s="4" t="s">
        <v>33</v>
      </c>
      <c r="F89" s="4" t="s">
        <v>34</v>
      </c>
      <c r="G89" s="4">
        <v>1</v>
      </c>
      <c r="H89" s="4">
        <v>360</v>
      </c>
      <c r="I89" s="4">
        <v>17983292</v>
      </c>
      <c r="J89" s="4">
        <v>48</v>
      </c>
      <c r="K89" s="4">
        <v>7.5</v>
      </c>
      <c r="L89" s="4">
        <v>374651.91666666698</v>
      </c>
      <c r="M89" s="4">
        <v>49953.588888888902</v>
      </c>
      <c r="N89" s="4" t="s">
        <v>51</v>
      </c>
      <c r="O89" s="4">
        <v>0.36906646458279202</v>
      </c>
      <c r="P89" s="4">
        <v>0.2198102723574</v>
      </c>
    </row>
    <row r="90" spans="1:16">
      <c r="A90" s="4" t="s">
        <v>219</v>
      </c>
      <c r="B90" s="4" t="s">
        <v>30</v>
      </c>
      <c r="C90" s="4" t="s">
        <v>152</v>
      </c>
      <c r="D90" s="4" t="s">
        <v>41</v>
      </c>
      <c r="E90" s="4" t="s">
        <v>42</v>
      </c>
      <c r="F90" s="4" t="s">
        <v>34</v>
      </c>
      <c r="G90" s="4">
        <v>1</v>
      </c>
      <c r="H90" s="4">
        <v>367</v>
      </c>
      <c r="I90" s="4">
        <v>17935445</v>
      </c>
      <c r="J90" s="4">
        <v>48</v>
      </c>
      <c r="K90" s="4">
        <v>7.6458333333333304</v>
      </c>
      <c r="L90" s="4">
        <v>373655.10416666698</v>
      </c>
      <c r="M90" s="4">
        <v>48870.422343324302</v>
      </c>
      <c r="N90" s="4" t="s">
        <v>51</v>
      </c>
      <c r="O90" s="4">
        <v>0.27627544228760398</v>
      </c>
      <c r="P90" s="4">
        <v>0.206669956012972</v>
      </c>
    </row>
    <row r="91" spans="1:16">
      <c r="A91" s="4" t="s">
        <v>220</v>
      </c>
      <c r="B91" s="4" t="s">
        <v>30</v>
      </c>
      <c r="C91" s="4" t="s">
        <v>221</v>
      </c>
      <c r="D91" s="4" t="s">
        <v>41</v>
      </c>
      <c r="E91" s="4" t="s">
        <v>50</v>
      </c>
      <c r="F91" s="4" t="s">
        <v>34</v>
      </c>
      <c r="G91" s="4">
        <v>1</v>
      </c>
      <c r="H91" s="4">
        <v>382</v>
      </c>
      <c r="I91" s="4">
        <v>17911176</v>
      </c>
      <c r="J91" s="4">
        <v>48</v>
      </c>
      <c r="K91" s="4">
        <v>7.9583333333333304</v>
      </c>
      <c r="L91" s="4">
        <v>373149.5</v>
      </c>
      <c r="M91" s="4">
        <v>46887.895287958097</v>
      </c>
      <c r="N91" s="4" t="s">
        <v>35</v>
      </c>
      <c r="O91" s="4">
        <v>0.26466458707122298</v>
      </c>
      <c r="P91" s="4">
        <v>0.18757016536183199</v>
      </c>
    </row>
    <row r="92" spans="1:16">
      <c r="A92" s="4" t="s">
        <v>222</v>
      </c>
      <c r="B92" s="4" t="s">
        <v>30</v>
      </c>
      <c r="C92" s="4" t="s">
        <v>223</v>
      </c>
      <c r="D92" s="4" t="s">
        <v>32</v>
      </c>
      <c r="E92" s="4" t="s">
        <v>67</v>
      </c>
      <c r="F92" s="4" t="s">
        <v>34</v>
      </c>
      <c r="G92" s="4">
        <v>1</v>
      </c>
      <c r="H92" s="4">
        <v>389</v>
      </c>
      <c r="I92" s="4">
        <v>17899263</v>
      </c>
      <c r="J92" s="4">
        <v>48</v>
      </c>
      <c r="K92" s="4">
        <v>8.1041666666666696</v>
      </c>
      <c r="L92" s="4">
        <v>372901.3125</v>
      </c>
      <c r="M92" s="4">
        <v>46013.529562982003</v>
      </c>
      <c r="N92" s="4" t="s">
        <v>35</v>
      </c>
      <c r="O92" s="4">
        <v>0.37367896097174502</v>
      </c>
      <c r="P92" s="4">
        <v>0.23368431194757899</v>
      </c>
    </row>
    <row r="93" spans="1:16">
      <c r="A93" s="4" t="s">
        <v>224</v>
      </c>
      <c r="B93" s="4" t="s">
        <v>30</v>
      </c>
      <c r="C93" s="4" t="s">
        <v>225</v>
      </c>
      <c r="D93" s="4" t="s">
        <v>32</v>
      </c>
      <c r="E93" s="4" t="s">
        <v>67</v>
      </c>
      <c r="F93" s="4" t="s">
        <v>34</v>
      </c>
      <c r="G93" s="4">
        <v>1</v>
      </c>
      <c r="H93" s="4">
        <v>409</v>
      </c>
      <c r="I93" s="4">
        <v>17876232</v>
      </c>
      <c r="J93" s="4">
        <v>48</v>
      </c>
      <c r="K93" s="4">
        <v>8.5208333333333304</v>
      </c>
      <c r="L93" s="4">
        <v>372421.5</v>
      </c>
      <c r="M93" s="4">
        <v>43707.168704156502</v>
      </c>
      <c r="N93" s="4" t="s">
        <v>35</v>
      </c>
      <c r="O93" s="4">
        <v>0.30671541967009602</v>
      </c>
      <c r="P93" s="4">
        <v>0.213099654429728</v>
      </c>
    </row>
    <row r="94" spans="1:16">
      <c r="A94" s="4" t="s">
        <v>226</v>
      </c>
      <c r="B94" s="4" t="s">
        <v>30</v>
      </c>
      <c r="C94" s="4" t="s">
        <v>227</v>
      </c>
      <c r="D94" s="4" t="s">
        <v>41</v>
      </c>
      <c r="E94" s="4" t="s">
        <v>50</v>
      </c>
      <c r="F94" s="4" t="s">
        <v>34</v>
      </c>
      <c r="G94" s="4">
        <v>1</v>
      </c>
      <c r="H94" s="4">
        <v>369</v>
      </c>
      <c r="I94" s="4">
        <v>17819138</v>
      </c>
      <c r="J94" s="4">
        <v>48</v>
      </c>
      <c r="K94" s="4">
        <v>7.6875</v>
      </c>
      <c r="L94" s="4">
        <v>371232.04166666698</v>
      </c>
      <c r="M94" s="4">
        <v>48290.346883468803</v>
      </c>
      <c r="N94" s="4" t="s">
        <v>54</v>
      </c>
      <c r="O94" s="4">
        <v>0.34747651654081102</v>
      </c>
      <c r="P94" s="4">
        <v>0.21488032831434201</v>
      </c>
    </row>
    <row r="95" spans="1:16">
      <c r="A95" s="4" t="s">
        <v>228</v>
      </c>
      <c r="B95" s="4" t="s">
        <v>30</v>
      </c>
      <c r="C95" s="4" t="s">
        <v>229</v>
      </c>
      <c r="D95" s="4" t="s">
        <v>41</v>
      </c>
      <c r="E95" s="4" t="s">
        <v>50</v>
      </c>
      <c r="F95" s="4" t="s">
        <v>34</v>
      </c>
      <c r="G95" s="4">
        <v>1</v>
      </c>
      <c r="H95" s="4">
        <v>361</v>
      </c>
      <c r="I95" s="4">
        <v>17795955</v>
      </c>
      <c r="J95" s="4">
        <v>48</v>
      </c>
      <c r="K95" s="4">
        <v>7.5208333333333304</v>
      </c>
      <c r="L95" s="4">
        <v>370749.0625</v>
      </c>
      <c r="M95" s="4">
        <v>49296.274238227197</v>
      </c>
      <c r="N95" s="4" t="s">
        <v>68</v>
      </c>
      <c r="O95" s="4">
        <v>0.32164449730289801</v>
      </c>
      <c r="P95" s="4">
        <v>0.22987630788373001</v>
      </c>
    </row>
    <row r="96" spans="1:16">
      <c r="A96" s="4" t="s">
        <v>230</v>
      </c>
      <c r="B96" s="4" t="s">
        <v>30</v>
      </c>
      <c r="C96" s="4" t="s">
        <v>231</v>
      </c>
      <c r="D96" s="4" t="s">
        <v>41</v>
      </c>
      <c r="E96" s="4" t="s">
        <v>42</v>
      </c>
      <c r="F96" s="4" t="s">
        <v>34</v>
      </c>
      <c r="G96" s="4">
        <v>1</v>
      </c>
      <c r="H96" s="4">
        <v>400</v>
      </c>
      <c r="I96" s="4">
        <v>17794218</v>
      </c>
      <c r="J96" s="4">
        <v>48</v>
      </c>
      <c r="K96" s="4">
        <v>8.3333333333333304</v>
      </c>
      <c r="L96" s="4">
        <v>370712.875</v>
      </c>
      <c r="M96" s="4">
        <v>44485.544999999998</v>
      </c>
      <c r="N96" s="4" t="s">
        <v>51</v>
      </c>
      <c r="O96" s="4">
        <v>0.246521145239426</v>
      </c>
      <c r="P96" s="4">
        <v>0.20216443914830001</v>
      </c>
    </row>
    <row r="97" spans="1:16">
      <c r="A97" s="4" t="s">
        <v>232</v>
      </c>
      <c r="B97" s="4" t="s">
        <v>30</v>
      </c>
      <c r="C97" s="4" t="s">
        <v>233</v>
      </c>
      <c r="D97" s="4" t="s">
        <v>32</v>
      </c>
      <c r="E97" s="4" t="s">
        <v>67</v>
      </c>
      <c r="F97" s="4" t="s">
        <v>34</v>
      </c>
      <c r="G97" s="4">
        <v>1</v>
      </c>
      <c r="H97" s="4">
        <v>379</v>
      </c>
      <c r="I97" s="4">
        <v>17738035</v>
      </c>
      <c r="J97" s="4">
        <v>48</v>
      </c>
      <c r="K97" s="4">
        <v>7.8958333333333304</v>
      </c>
      <c r="L97" s="4">
        <v>369542.39583333302</v>
      </c>
      <c r="M97" s="4">
        <v>46802.2031662269</v>
      </c>
      <c r="N97" s="4" t="s">
        <v>35</v>
      </c>
      <c r="O97" s="4">
        <v>0.25363762107809601</v>
      </c>
      <c r="P97" s="4">
        <v>0.18310000246156199</v>
      </c>
    </row>
    <row r="98" spans="1:16">
      <c r="A98" s="4" t="s">
        <v>234</v>
      </c>
      <c r="B98" s="4" t="s">
        <v>30</v>
      </c>
      <c r="C98" s="4" t="s">
        <v>235</v>
      </c>
      <c r="D98" s="4" t="s">
        <v>41</v>
      </c>
      <c r="E98" s="4" t="s">
        <v>50</v>
      </c>
      <c r="F98" s="4" t="s">
        <v>34</v>
      </c>
      <c r="G98" s="4">
        <v>1</v>
      </c>
      <c r="H98" s="4">
        <v>419</v>
      </c>
      <c r="I98" s="4">
        <v>17718374</v>
      </c>
      <c r="J98" s="4">
        <v>48</v>
      </c>
      <c r="K98" s="4">
        <v>8.7291666666666696</v>
      </c>
      <c r="L98" s="4">
        <v>369132.79166666698</v>
      </c>
      <c r="M98" s="4">
        <v>42287.288782816198</v>
      </c>
      <c r="N98" s="4" t="s">
        <v>35</v>
      </c>
      <c r="O98" s="4">
        <v>0.22980737397235201</v>
      </c>
      <c r="P98" s="4">
        <v>0.18500642961574801</v>
      </c>
    </row>
    <row r="99" spans="1:16">
      <c r="A99" s="4" t="s">
        <v>236</v>
      </c>
      <c r="B99" s="4" t="s">
        <v>30</v>
      </c>
      <c r="C99" s="4" t="s">
        <v>237</v>
      </c>
      <c r="D99" s="4" t="s">
        <v>32</v>
      </c>
      <c r="E99" s="4" t="s">
        <v>33</v>
      </c>
      <c r="F99" s="4" t="s">
        <v>34</v>
      </c>
      <c r="G99" s="4">
        <v>1</v>
      </c>
      <c r="H99" s="4">
        <v>374</v>
      </c>
      <c r="I99" s="4">
        <v>17697168</v>
      </c>
      <c r="J99" s="4">
        <v>48</v>
      </c>
      <c r="K99" s="4">
        <v>7.7916666666666696</v>
      </c>
      <c r="L99" s="4">
        <v>368691</v>
      </c>
      <c r="M99" s="4">
        <v>47318.631016042797</v>
      </c>
      <c r="N99" s="4" t="s">
        <v>47</v>
      </c>
      <c r="O99" s="4">
        <v>0.263400788193908</v>
      </c>
      <c r="P99" s="4">
        <v>0.18426470897309</v>
      </c>
    </row>
    <row r="100" spans="1:16">
      <c r="A100" s="4" t="s">
        <v>238</v>
      </c>
      <c r="B100" s="4" t="s">
        <v>30</v>
      </c>
      <c r="C100" s="4" t="s">
        <v>239</v>
      </c>
      <c r="D100" s="4" t="s">
        <v>32</v>
      </c>
      <c r="E100" s="4" t="s">
        <v>67</v>
      </c>
      <c r="F100" s="4" t="s">
        <v>34</v>
      </c>
      <c r="G100" s="4">
        <v>1</v>
      </c>
      <c r="H100" s="4">
        <v>422</v>
      </c>
      <c r="I100" s="4">
        <v>17692534</v>
      </c>
      <c r="J100" s="4">
        <v>48</v>
      </c>
      <c r="K100" s="4">
        <v>8.7916666666666696</v>
      </c>
      <c r="L100" s="4">
        <v>368594.45833333302</v>
      </c>
      <c r="M100" s="4">
        <v>41925.4360189574</v>
      </c>
      <c r="N100" s="4" t="s">
        <v>54</v>
      </c>
      <c r="O100" s="4">
        <v>0.39149790527461997</v>
      </c>
      <c r="P100" s="4">
        <v>0.23132803486989401</v>
      </c>
    </row>
    <row r="101" spans="1:16">
      <c r="A101" s="4" t="s">
        <v>240</v>
      </c>
      <c r="B101" s="4" t="s">
        <v>30</v>
      </c>
      <c r="C101" s="4" t="s">
        <v>241</v>
      </c>
      <c r="D101" s="4" t="s">
        <v>41</v>
      </c>
      <c r="E101" s="4" t="s">
        <v>42</v>
      </c>
      <c r="F101" s="4" t="s">
        <v>34</v>
      </c>
      <c r="G101" s="4">
        <v>1</v>
      </c>
      <c r="H101" s="4">
        <v>405</v>
      </c>
      <c r="I101" s="4">
        <v>17692456</v>
      </c>
      <c r="J101" s="4">
        <v>48</v>
      </c>
      <c r="K101" s="4">
        <v>8.4375</v>
      </c>
      <c r="L101" s="4">
        <v>368592.83333333302</v>
      </c>
      <c r="M101" s="4">
        <v>43685.0765432099</v>
      </c>
      <c r="N101" s="4" t="s">
        <v>47</v>
      </c>
      <c r="O101" s="4">
        <v>0.30348222994026403</v>
      </c>
      <c r="P101" s="4">
        <v>0.19432461982952001</v>
      </c>
    </row>
    <row r="102" spans="1:16">
      <c r="A102" s="4" t="s">
        <v>242</v>
      </c>
      <c r="B102" s="4" t="s">
        <v>30</v>
      </c>
      <c r="C102" s="4" t="s">
        <v>243</v>
      </c>
      <c r="D102" s="4" t="s">
        <v>41</v>
      </c>
      <c r="E102" s="4" t="s">
        <v>42</v>
      </c>
      <c r="F102" s="4" t="s">
        <v>34</v>
      </c>
      <c r="G102" s="4">
        <v>1</v>
      </c>
      <c r="H102" s="4">
        <v>375</v>
      </c>
      <c r="I102" s="4">
        <v>17688642</v>
      </c>
      <c r="J102" s="4">
        <v>48</v>
      </c>
      <c r="K102" s="4">
        <v>7.8125</v>
      </c>
      <c r="L102" s="4">
        <v>368513.375</v>
      </c>
      <c r="M102" s="4">
        <v>47169.712</v>
      </c>
      <c r="N102" s="4" t="s">
        <v>35</v>
      </c>
      <c r="O102" s="4">
        <v>0.39530863929520399</v>
      </c>
      <c r="P102" s="4">
        <v>0.243761479482346</v>
      </c>
    </row>
    <row r="103" spans="1:16">
      <c r="A103" s="4" t="s">
        <v>244</v>
      </c>
      <c r="B103" s="4" t="s">
        <v>30</v>
      </c>
      <c r="C103" s="4" t="s">
        <v>245</v>
      </c>
      <c r="D103" s="4" t="s">
        <v>41</v>
      </c>
      <c r="E103" s="4" t="s">
        <v>42</v>
      </c>
      <c r="F103" s="4" t="s">
        <v>34</v>
      </c>
      <c r="G103" s="4">
        <v>1</v>
      </c>
      <c r="H103" s="4">
        <v>372</v>
      </c>
      <c r="I103" s="4">
        <v>17671833</v>
      </c>
      <c r="J103" s="4">
        <v>48</v>
      </c>
      <c r="K103" s="4">
        <v>7.75</v>
      </c>
      <c r="L103" s="4">
        <v>368163.1875</v>
      </c>
      <c r="M103" s="4">
        <v>47504.927419354797</v>
      </c>
      <c r="N103" s="4" t="s">
        <v>51</v>
      </c>
      <c r="O103" s="4">
        <v>0.24686810926744299</v>
      </c>
      <c r="P103" s="4">
        <v>0.19047395552400301</v>
      </c>
    </row>
    <row r="104" spans="1:16">
      <c r="A104" s="4" t="s">
        <v>246</v>
      </c>
      <c r="B104" s="4" t="s">
        <v>30</v>
      </c>
      <c r="C104" s="4" t="s">
        <v>247</v>
      </c>
      <c r="D104" s="4" t="s">
        <v>32</v>
      </c>
      <c r="E104" s="4" t="s">
        <v>67</v>
      </c>
      <c r="F104" s="4" t="s">
        <v>34</v>
      </c>
      <c r="G104" s="4">
        <v>1</v>
      </c>
      <c r="H104" s="4">
        <v>382</v>
      </c>
      <c r="I104" s="4">
        <v>17661974</v>
      </c>
      <c r="J104" s="4">
        <v>48</v>
      </c>
      <c r="K104" s="4">
        <v>7.9583333333333304</v>
      </c>
      <c r="L104" s="4">
        <v>367957.79166666698</v>
      </c>
      <c r="M104" s="4">
        <v>46235.534031413597</v>
      </c>
      <c r="N104" s="4" t="s">
        <v>68</v>
      </c>
      <c r="O104" s="4">
        <v>0.23671385769223799</v>
      </c>
      <c r="P104" s="4">
        <v>0.19320487974856901</v>
      </c>
    </row>
    <row r="105" spans="1:16">
      <c r="A105" s="4" t="s">
        <v>248</v>
      </c>
      <c r="B105" s="4" t="s">
        <v>30</v>
      </c>
      <c r="C105" s="4" t="s">
        <v>249</v>
      </c>
      <c r="D105" s="4" t="s">
        <v>32</v>
      </c>
      <c r="E105" s="4" t="s">
        <v>67</v>
      </c>
      <c r="F105" s="4" t="s">
        <v>34</v>
      </c>
      <c r="G105" s="4">
        <v>1</v>
      </c>
      <c r="H105" s="4">
        <v>373</v>
      </c>
      <c r="I105" s="4">
        <v>17658742</v>
      </c>
      <c r="J105" s="4">
        <v>48</v>
      </c>
      <c r="K105" s="4">
        <v>7.7708333333333304</v>
      </c>
      <c r="L105" s="4">
        <v>367890.45833333302</v>
      </c>
      <c r="M105" s="4">
        <v>47342.471849866</v>
      </c>
      <c r="N105" s="4" t="s">
        <v>35</v>
      </c>
      <c r="O105" s="4">
        <v>0.41135319831956302</v>
      </c>
      <c r="P105" s="4">
        <v>0.27277087948267698</v>
      </c>
    </row>
    <row r="106" spans="1:16">
      <c r="A106" s="4" t="s">
        <v>250</v>
      </c>
      <c r="B106" s="4" t="s">
        <v>30</v>
      </c>
      <c r="C106" s="4" t="s">
        <v>251</v>
      </c>
      <c r="D106" s="4" t="s">
        <v>32</v>
      </c>
      <c r="E106" s="4" t="s">
        <v>33</v>
      </c>
      <c r="F106" s="4" t="s">
        <v>34</v>
      </c>
      <c r="G106" s="4">
        <v>1</v>
      </c>
      <c r="H106" s="4">
        <v>356</v>
      </c>
      <c r="I106" s="4">
        <v>17649861.461538501</v>
      </c>
      <c r="J106" s="4">
        <v>48</v>
      </c>
      <c r="K106" s="4">
        <v>7.4166666666666696</v>
      </c>
      <c r="L106" s="4">
        <v>367705.44711538497</v>
      </c>
      <c r="M106" s="4">
        <v>49578.262532411398</v>
      </c>
      <c r="N106" s="4" t="s">
        <v>54</v>
      </c>
      <c r="O106" s="4">
        <v>0.28213399923004001</v>
      </c>
      <c r="P106" s="4">
        <v>0.19653861226721001</v>
      </c>
    </row>
    <row r="107" spans="1:16">
      <c r="A107" s="4" t="s">
        <v>252</v>
      </c>
      <c r="B107" s="4" t="s">
        <v>30</v>
      </c>
      <c r="C107" s="4" t="s">
        <v>253</v>
      </c>
      <c r="D107" s="4" t="s">
        <v>32</v>
      </c>
      <c r="E107" s="4" t="s">
        <v>67</v>
      </c>
      <c r="F107" s="4" t="s">
        <v>34</v>
      </c>
      <c r="G107" s="4">
        <v>1</v>
      </c>
      <c r="H107" s="4">
        <v>430</v>
      </c>
      <c r="I107" s="4">
        <v>17624215</v>
      </c>
      <c r="J107" s="4">
        <v>48</v>
      </c>
      <c r="K107" s="4">
        <v>8.9583333333333304</v>
      </c>
      <c r="L107" s="4">
        <v>367171.14583333302</v>
      </c>
      <c r="M107" s="4">
        <v>40986.546511627901</v>
      </c>
      <c r="N107" s="4" t="s">
        <v>54</v>
      </c>
      <c r="O107" s="4">
        <v>0.28744179527996</v>
      </c>
      <c r="P107" s="4">
        <v>0.19363002101997001</v>
      </c>
    </row>
    <row r="108" spans="1:16">
      <c r="A108" s="4" t="s">
        <v>254</v>
      </c>
      <c r="B108" s="4" t="s">
        <v>30</v>
      </c>
      <c r="C108" s="4" t="s">
        <v>255</v>
      </c>
      <c r="D108" s="4" t="s">
        <v>41</v>
      </c>
      <c r="E108" s="4" t="s">
        <v>50</v>
      </c>
      <c r="F108" s="4" t="s">
        <v>34</v>
      </c>
      <c r="G108" s="4">
        <v>1</v>
      </c>
      <c r="H108" s="4">
        <v>418</v>
      </c>
      <c r="I108" s="4">
        <v>17622490.800000001</v>
      </c>
      <c r="J108" s="4">
        <v>48</v>
      </c>
      <c r="K108" s="4">
        <v>8.7083333333333304</v>
      </c>
      <c r="L108" s="4">
        <v>367135.22499999998</v>
      </c>
      <c r="M108" s="4">
        <v>42159.068899521502</v>
      </c>
      <c r="N108" s="4" t="s">
        <v>68</v>
      </c>
      <c r="O108" s="4">
        <v>0.27075830846794902</v>
      </c>
      <c r="P108" s="4">
        <v>0.19118956713112101</v>
      </c>
    </row>
    <row r="109" spans="1:16">
      <c r="A109" s="4" t="s">
        <v>256</v>
      </c>
      <c r="B109" s="4" t="s">
        <v>30</v>
      </c>
      <c r="C109" s="4" t="s">
        <v>257</v>
      </c>
      <c r="D109" s="4" t="s">
        <v>41</v>
      </c>
      <c r="E109" s="4" t="s">
        <v>50</v>
      </c>
      <c r="F109" s="4" t="s">
        <v>34</v>
      </c>
      <c r="G109" s="4">
        <v>1</v>
      </c>
      <c r="H109" s="4">
        <v>408</v>
      </c>
      <c r="I109" s="4">
        <v>17589925.0063898</v>
      </c>
      <c r="J109" s="4">
        <v>48</v>
      </c>
      <c r="K109" s="4">
        <v>8.5</v>
      </c>
      <c r="L109" s="4">
        <v>366456.770966454</v>
      </c>
      <c r="M109" s="4">
        <v>43112.561290170997</v>
      </c>
      <c r="N109" s="4" t="s">
        <v>35</v>
      </c>
      <c r="O109" s="4">
        <v>0.26556361089107</v>
      </c>
      <c r="P109" s="4">
        <v>0.191613627110162</v>
      </c>
    </row>
    <row r="110" spans="1:16">
      <c r="A110" s="4" t="s">
        <v>258</v>
      </c>
      <c r="B110" s="4" t="s">
        <v>30</v>
      </c>
      <c r="C110" s="4" t="s">
        <v>259</v>
      </c>
      <c r="D110" s="4" t="s">
        <v>32</v>
      </c>
      <c r="E110" s="4" t="s">
        <v>33</v>
      </c>
      <c r="F110" s="4" t="s">
        <v>34</v>
      </c>
      <c r="G110" s="4">
        <v>1</v>
      </c>
      <c r="H110" s="4">
        <v>399</v>
      </c>
      <c r="I110" s="4">
        <v>17569970</v>
      </c>
      <c r="J110" s="4">
        <v>48</v>
      </c>
      <c r="K110" s="4">
        <v>8.3125</v>
      </c>
      <c r="L110" s="4">
        <v>366041.04166666698</v>
      </c>
      <c r="M110" s="4">
        <v>44035.012531328299</v>
      </c>
      <c r="N110" s="4" t="s">
        <v>51</v>
      </c>
      <c r="O110" s="4">
        <v>0.304162272331711</v>
      </c>
      <c r="P110" s="4">
        <v>0.20052345962957699</v>
      </c>
    </row>
    <row r="111" spans="1:16">
      <c r="A111" s="4" t="s">
        <v>260</v>
      </c>
      <c r="B111" s="4" t="s">
        <v>30</v>
      </c>
      <c r="C111" s="4" t="s">
        <v>261</v>
      </c>
      <c r="D111" s="4" t="s">
        <v>32</v>
      </c>
      <c r="E111" s="4" t="s">
        <v>67</v>
      </c>
      <c r="F111" s="4" t="s">
        <v>34</v>
      </c>
      <c r="G111" s="4">
        <v>1</v>
      </c>
      <c r="H111" s="4">
        <v>386</v>
      </c>
      <c r="I111" s="4">
        <v>17559603</v>
      </c>
      <c r="J111" s="4">
        <v>48</v>
      </c>
      <c r="K111" s="4">
        <v>8.0416666666666696</v>
      </c>
      <c r="L111" s="4">
        <v>365825.0625</v>
      </c>
      <c r="M111" s="4">
        <v>45491.199481865297</v>
      </c>
      <c r="N111" s="4" t="s">
        <v>54</v>
      </c>
      <c r="O111" s="4">
        <v>0.366984492758749</v>
      </c>
      <c r="P111" s="4">
        <v>0.22869937856109199</v>
      </c>
    </row>
    <row r="112" spans="1:16">
      <c r="A112" s="4" t="s">
        <v>262</v>
      </c>
      <c r="B112" s="4" t="s">
        <v>30</v>
      </c>
      <c r="C112" s="4" t="s">
        <v>263</v>
      </c>
      <c r="D112" s="4" t="s">
        <v>32</v>
      </c>
      <c r="E112" s="4" t="s">
        <v>33</v>
      </c>
      <c r="F112" s="4" t="s">
        <v>34</v>
      </c>
      <c r="G112" s="4">
        <v>1</v>
      </c>
      <c r="H112" s="4">
        <v>392</v>
      </c>
      <c r="I112" s="4">
        <v>17536137.8881789</v>
      </c>
      <c r="J112" s="4">
        <v>48</v>
      </c>
      <c r="K112" s="4">
        <v>8.1666666666666696</v>
      </c>
      <c r="L112" s="4">
        <v>365336.20600372698</v>
      </c>
      <c r="M112" s="4">
        <v>44735.045633109497</v>
      </c>
      <c r="N112" s="4" t="s">
        <v>54</v>
      </c>
      <c r="O112" s="4">
        <v>0.27841694853980298</v>
      </c>
      <c r="P112" s="4">
        <v>0.20708334047906901</v>
      </c>
    </row>
    <row r="113" spans="1:16">
      <c r="A113" s="4" t="s">
        <v>264</v>
      </c>
      <c r="B113" s="4" t="s">
        <v>30</v>
      </c>
      <c r="C113" s="4" t="s">
        <v>265</v>
      </c>
      <c r="D113" s="4" t="s">
        <v>32</v>
      </c>
      <c r="E113" s="4" t="s">
        <v>67</v>
      </c>
      <c r="F113" s="4" t="s">
        <v>34</v>
      </c>
      <c r="G113" s="4">
        <v>1</v>
      </c>
      <c r="H113" s="4">
        <v>408</v>
      </c>
      <c r="I113" s="4">
        <v>17512900</v>
      </c>
      <c r="J113" s="4">
        <v>48</v>
      </c>
      <c r="K113" s="4">
        <v>8.5</v>
      </c>
      <c r="L113" s="4">
        <v>364852.08333333302</v>
      </c>
      <c r="M113" s="4">
        <v>42923.774509803901</v>
      </c>
      <c r="N113" s="4" t="s">
        <v>54</v>
      </c>
      <c r="O113" s="4">
        <v>0.22007149015868299</v>
      </c>
      <c r="P113" s="4">
        <v>0.17311715763159899</v>
      </c>
    </row>
    <row r="114" spans="1:16">
      <c r="A114" s="4" t="s">
        <v>266</v>
      </c>
      <c r="B114" s="4" t="s">
        <v>30</v>
      </c>
      <c r="C114" s="4" t="s">
        <v>267</v>
      </c>
      <c r="D114" s="4" t="s">
        <v>41</v>
      </c>
      <c r="E114" s="4" t="s">
        <v>50</v>
      </c>
      <c r="F114" s="4" t="s">
        <v>34</v>
      </c>
      <c r="G114" s="4">
        <v>1</v>
      </c>
      <c r="H114" s="4">
        <v>367</v>
      </c>
      <c r="I114" s="4">
        <v>17510886</v>
      </c>
      <c r="J114" s="4">
        <v>48</v>
      </c>
      <c r="K114" s="4">
        <v>7.6458333333333304</v>
      </c>
      <c r="L114" s="4">
        <v>364810.125</v>
      </c>
      <c r="M114" s="4">
        <v>47713.585831062701</v>
      </c>
      <c r="N114" s="4" t="s">
        <v>47</v>
      </c>
      <c r="O114" s="4">
        <v>0.31494945487053</v>
      </c>
      <c r="P114" s="4">
        <v>0.202309402103372</v>
      </c>
    </row>
    <row r="115" spans="1:16">
      <c r="A115" s="4" t="s">
        <v>268</v>
      </c>
      <c r="B115" s="4" t="s">
        <v>30</v>
      </c>
      <c r="C115" s="4" t="s">
        <v>269</v>
      </c>
      <c r="D115" s="4" t="s">
        <v>32</v>
      </c>
      <c r="E115" s="4" t="s">
        <v>33</v>
      </c>
      <c r="F115" s="4" t="s">
        <v>34</v>
      </c>
      <c r="G115" s="4">
        <v>1</v>
      </c>
      <c r="H115" s="4">
        <v>373</v>
      </c>
      <c r="I115" s="4">
        <v>17506161</v>
      </c>
      <c r="J115" s="4">
        <v>48</v>
      </c>
      <c r="K115" s="4">
        <v>7.7708333333333304</v>
      </c>
      <c r="L115" s="4">
        <v>364711.6875</v>
      </c>
      <c r="M115" s="4">
        <v>46933.407506702402</v>
      </c>
      <c r="N115" s="4" t="s">
        <v>54</v>
      </c>
      <c r="O115" s="4">
        <v>0.28663874392563898</v>
      </c>
      <c r="P115" s="4">
        <v>0.20208242837236301</v>
      </c>
    </row>
    <row r="116" spans="1:16">
      <c r="A116" s="4" t="s">
        <v>270</v>
      </c>
      <c r="B116" s="4" t="s">
        <v>30</v>
      </c>
      <c r="C116" s="4" t="s">
        <v>271</v>
      </c>
      <c r="D116" s="4" t="s">
        <v>32</v>
      </c>
      <c r="E116" s="4" t="s">
        <v>67</v>
      </c>
      <c r="F116" s="4" t="s">
        <v>34</v>
      </c>
      <c r="G116" s="4">
        <v>1</v>
      </c>
      <c r="H116" s="4">
        <v>371</v>
      </c>
      <c r="I116" s="4">
        <v>17505127</v>
      </c>
      <c r="J116" s="4">
        <v>48</v>
      </c>
      <c r="K116" s="4">
        <v>7.7291666666666696</v>
      </c>
      <c r="L116" s="4">
        <v>364690.14583333302</v>
      </c>
      <c r="M116" s="4">
        <v>47183.6307277628</v>
      </c>
      <c r="N116" s="4" t="s">
        <v>54</v>
      </c>
      <c r="O116" s="4">
        <v>0.35426278255507698</v>
      </c>
      <c r="P116" s="4">
        <v>0.217936608923536</v>
      </c>
    </row>
    <row r="117" spans="1:16">
      <c r="A117" s="4" t="s">
        <v>272</v>
      </c>
      <c r="B117" s="4" t="s">
        <v>30</v>
      </c>
      <c r="C117" s="4" t="s">
        <v>273</v>
      </c>
      <c r="D117" s="4" t="s">
        <v>41</v>
      </c>
      <c r="E117" s="4" t="s">
        <v>42</v>
      </c>
      <c r="F117" s="4" t="s">
        <v>34</v>
      </c>
      <c r="G117" s="4">
        <v>1</v>
      </c>
      <c r="H117" s="4">
        <v>395</v>
      </c>
      <c r="I117" s="4">
        <v>17495713</v>
      </c>
      <c r="J117" s="4">
        <v>48</v>
      </c>
      <c r="K117" s="4">
        <v>8.2291666666666696</v>
      </c>
      <c r="L117" s="4">
        <v>364494.02083333302</v>
      </c>
      <c r="M117" s="4">
        <v>44292.9443037975</v>
      </c>
      <c r="N117" s="4" t="s">
        <v>51</v>
      </c>
      <c r="O117" s="4">
        <v>0.31965482058376199</v>
      </c>
      <c r="P117" s="4">
        <v>0.20568232299019201</v>
      </c>
    </row>
    <row r="118" spans="1:16">
      <c r="A118" s="4" t="s">
        <v>274</v>
      </c>
      <c r="B118" s="4" t="s">
        <v>30</v>
      </c>
      <c r="C118" s="4" t="s">
        <v>275</v>
      </c>
      <c r="D118" s="4" t="s">
        <v>41</v>
      </c>
      <c r="E118" s="4" t="s">
        <v>42</v>
      </c>
      <c r="F118" s="4" t="s">
        <v>34</v>
      </c>
      <c r="G118" s="4">
        <v>1</v>
      </c>
      <c r="H118" s="4">
        <v>412</v>
      </c>
      <c r="I118" s="4">
        <v>17481679</v>
      </c>
      <c r="J118" s="4">
        <v>48</v>
      </c>
      <c r="K118" s="4">
        <v>8.5833333333333304</v>
      </c>
      <c r="L118" s="4">
        <v>364201.64583333302</v>
      </c>
      <c r="M118" s="4">
        <v>42431.259708737904</v>
      </c>
      <c r="N118" s="4" t="s">
        <v>35</v>
      </c>
      <c r="O118" s="4">
        <v>0.25947273142356603</v>
      </c>
      <c r="P118" s="4">
        <v>0.191101907612414</v>
      </c>
    </row>
    <row r="119" spans="1:16">
      <c r="A119" s="4" t="s">
        <v>276</v>
      </c>
      <c r="B119" s="4" t="s">
        <v>30</v>
      </c>
      <c r="C119" s="4" t="s">
        <v>277</v>
      </c>
      <c r="D119" s="4" t="s">
        <v>32</v>
      </c>
      <c r="E119" s="4" t="s">
        <v>33</v>
      </c>
      <c r="F119" s="4" t="s">
        <v>34</v>
      </c>
      <c r="G119" s="4">
        <v>1</v>
      </c>
      <c r="H119" s="4">
        <v>398</v>
      </c>
      <c r="I119" s="4">
        <v>17461646</v>
      </c>
      <c r="J119" s="4">
        <v>48</v>
      </c>
      <c r="K119" s="4">
        <v>8.2916666666666696</v>
      </c>
      <c r="L119" s="4">
        <v>363784.29166666698</v>
      </c>
      <c r="M119" s="4">
        <v>43873.482412060301</v>
      </c>
      <c r="N119" s="4" t="s">
        <v>54</v>
      </c>
      <c r="O119" s="4">
        <v>0.33012134136724602</v>
      </c>
      <c r="P119" s="4">
        <v>0.21585654233430299</v>
      </c>
    </row>
    <row r="120" spans="1:16">
      <c r="A120" s="4" t="s">
        <v>278</v>
      </c>
      <c r="B120" s="4" t="s">
        <v>30</v>
      </c>
      <c r="C120" s="4" t="s">
        <v>279</v>
      </c>
      <c r="D120" s="4" t="s">
        <v>41</v>
      </c>
      <c r="E120" s="4" t="s">
        <v>42</v>
      </c>
      <c r="F120" s="4" t="s">
        <v>34</v>
      </c>
      <c r="G120" s="4">
        <v>1</v>
      </c>
      <c r="H120" s="4">
        <v>395</v>
      </c>
      <c r="I120" s="4">
        <v>17355962</v>
      </c>
      <c r="J120" s="4">
        <v>48</v>
      </c>
      <c r="K120" s="4">
        <v>8.2291666666666696</v>
      </c>
      <c r="L120" s="4">
        <v>361582.54166666698</v>
      </c>
      <c r="M120" s="4">
        <v>43939.144303797497</v>
      </c>
      <c r="N120" s="4" t="s">
        <v>47</v>
      </c>
      <c r="O120" s="4">
        <v>0.28627275169189698</v>
      </c>
      <c r="P120" s="4">
        <v>0.20630683938279301</v>
      </c>
    </row>
    <row r="121" spans="1:16">
      <c r="A121" s="4" t="s">
        <v>280</v>
      </c>
      <c r="B121" s="4" t="s">
        <v>30</v>
      </c>
      <c r="C121" s="4" t="s">
        <v>281</v>
      </c>
      <c r="D121" s="4" t="s">
        <v>41</v>
      </c>
      <c r="E121" s="4" t="s">
        <v>42</v>
      </c>
      <c r="F121" s="4" t="s">
        <v>34</v>
      </c>
      <c r="G121" s="4">
        <v>1</v>
      </c>
      <c r="H121" s="4">
        <v>396</v>
      </c>
      <c r="I121" s="4">
        <v>17341092</v>
      </c>
      <c r="J121" s="4">
        <v>48</v>
      </c>
      <c r="K121" s="4">
        <v>8.25</v>
      </c>
      <c r="L121" s="4">
        <v>361272.75</v>
      </c>
      <c r="M121" s="4">
        <v>43790.636363636397</v>
      </c>
      <c r="N121" s="4" t="s">
        <v>51</v>
      </c>
      <c r="O121" s="4">
        <v>0.359991746771195</v>
      </c>
      <c r="P121" s="4">
        <v>0.215528625756405</v>
      </c>
    </row>
    <row r="122" spans="1:16">
      <c r="A122" s="4" t="s">
        <v>282</v>
      </c>
      <c r="B122" s="4" t="s">
        <v>30</v>
      </c>
      <c r="C122" s="4" t="s">
        <v>283</v>
      </c>
      <c r="D122" s="4" t="s">
        <v>41</v>
      </c>
      <c r="E122" s="4" t="s">
        <v>42</v>
      </c>
      <c r="F122" s="4" t="s">
        <v>34</v>
      </c>
      <c r="G122" s="4">
        <v>1</v>
      </c>
      <c r="H122" s="4">
        <v>389</v>
      </c>
      <c r="I122" s="4">
        <v>17335979</v>
      </c>
      <c r="J122" s="4">
        <v>48</v>
      </c>
      <c r="K122" s="4">
        <v>8.1041666666666696</v>
      </c>
      <c r="L122" s="4">
        <v>361166.22916666698</v>
      </c>
      <c r="M122" s="4">
        <v>44565.498714652997</v>
      </c>
      <c r="N122" s="4" t="s">
        <v>35</v>
      </c>
      <c r="O122" s="4">
        <v>0.36876002214815801</v>
      </c>
      <c r="P122" s="4">
        <v>0.24745531242671201</v>
      </c>
    </row>
    <row r="123" spans="1:16">
      <c r="A123" s="4" t="s">
        <v>284</v>
      </c>
      <c r="B123" s="4" t="s">
        <v>30</v>
      </c>
      <c r="C123" s="4" t="s">
        <v>285</v>
      </c>
      <c r="D123" s="4" t="s">
        <v>41</v>
      </c>
      <c r="E123" s="4" t="s">
        <v>42</v>
      </c>
      <c r="F123" s="4" t="s">
        <v>34</v>
      </c>
      <c r="G123" s="4">
        <v>1</v>
      </c>
      <c r="H123" s="4">
        <v>411</v>
      </c>
      <c r="I123" s="4">
        <v>17335790</v>
      </c>
      <c r="J123" s="4">
        <v>48</v>
      </c>
      <c r="K123" s="4">
        <v>8.5625</v>
      </c>
      <c r="L123" s="4">
        <v>361162.29166666698</v>
      </c>
      <c r="M123" s="4">
        <v>42179.537712895399</v>
      </c>
      <c r="N123" s="4" t="s">
        <v>35</v>
      </c>
      <c r="O123" s="4">
        <v>0.337744573509485</v>
      </c>
      <c r="P123" s="4">
        <v>0.23189109620691001</v>
      </c>
    </row>
    <row r="124" spans="1:16">
      <c r="A124" s="4" t="s">
        <v>286</v>
      </c>
      <c r="B124" s="4" t="s">
        <v>30</v>
      </c>
      <c r="C124" s="4" t="s">
        <v>287</v>
      </c>
      <c r="D124" s="4" t="s">
        <v>32</v>
      </c>
      <c r="E124" s="4" t="s">
        <v>33</v>
      </c>
      <c r="F124" s="4" t="s">
        <v>34</v>
      </c>
      <c r="G124" s="4">
        <v>1</v>
      </c>
      <c r="H124" s="4">
        <v>400</v>
      </c>
      <c r="I124" s="4">
        <v>17323557</v>
      </c>
      <c r="J124" s="4">
        <v>48</v>
      </c>
      <c r="K124" s="4">
        <v>8.3333333333333304</v>
      </c>
      <c r="L124" s="4">
        <v>360907.4375</v>
      </c>
      <c r="M124" s="4">
        <v>43308.892500000002</v>
      </c>
      <c r="N124" s="4" t="s">
        <v>38</v>
      </c>
      <c r="O124" s="4">
        <v>0.323553990672932</v>
      </c>
      <c r="P124" s="4">
        <v>0.21949932397848901</v>
      </c>
    </row>
    <row r="125" spans="1:16">
      <c r="A125" s="4" t="s">
        <v>288</v>
      </c>
      <c r="B125" s="4" t="s">
        <v>30</v>
      </c>
      <c r="C125" s="4" t="s">
        <v>289</v>
      </c>
      <c r="D125" s="4" t="s">
        <v>32</v>
      </c>
      <c r="E125" s="4" t="s">
        <v>33</v>
      </c>
      <c r="F125" s="4" t="s">
        <v>34</v>
      </c>
      <c r="G125" s="4">
        <v>1</v>
      </c>
      <c r="H125" s="4">
        <v>390</v>
      </c>
      <c r="I125" s="4">
        <v>17315988</v>
      </c>
      <c r="J125" s="4">
        <v>48</v>
      </c>
      <c r="K125" s="4">
        <v>8.125</v>
      </c>
      <c r="L125" s="4">
        <v>360749.75</v>
      </c>
      <c r="M125" s="4">
        <v>44399.969230769202</v>
      </c>
      <c r="N125" s="4" t="s">
        <v>54</v>
      </c>
      <c r="O125" s="4">
        <v>0.31744518418469703</v>
      </c>
      <c r="P125" s="4">
        <v>0.21146415757763601</v>
      </c>
    </row>
    <row r="126" spans="1:16">
      <c r="A126" s="4" t="s">
        <v>290</v>
      </c>
      <c r="B126" s="4" t="s">
        <v>30</v>
      </c>
      <c r="C126" s="4" t="s">
        <v>291</v>
      </c>
      <c r="D126" s="4" t="s">
        <v>41</v>
      </c>
      <c r="E126" s="4" t="s">
        <v>50</v>
      </c>
      <c r="F126" s="4" t="s">
        <v>34</v>
      </c>
      <c r="G126" s="4">
        <v>1</v>
      </c>
      <c r="H126" s="4">
        <v>361</v>
      </c>
      <c r="I126" s="4">
        <v>17303434</v>
      </c>
      <c r="J126" s="4">
        <v>48</v>
      </c>
      <c r="K126" s="4">
        <v>7.5208333333333304</v>
      </c>
      <c r="L126" s="4">
        <v>360488.20833333302</v>
      </c>
      <c r="M126" s="4">
        <v>47931.950138504202</v>
      </c>
      <c r="N126" s="4" t="s">
        <v>47</v>
      </c>
      <c r="O126" s="4">
        <v>0.24509539551513301</v>
      </c>
      <c r="P126" s="4">
        <v>0.17772104146608</v>
      </c>
    </row>
    <row r="127" spans="1:16">
      <c r="A127" s="4" t="s">
        <v>292</v>
      </c>
      <c r="B127" s="4" t="s">
        <v>30</v>
      </c>
      <c r="C127" s="4" t="s">
        <v>293</v>
      </c>
      <c r="D127" s="4" t="s">
        <v>41</v>
      </c>
      <c r="E127" s="4" t="s">
        <v>50</v>
      </c>
      <c r="F127" s="4" t="s">
        <v>34</v>
      </c>
      <c r="G127" s="4">
        <v>1</v>
      </c>
      <c r="H127" s="4">
        <v>392</v>
      </c>
      <c r="I127" s="4">
        <v>17283582</v>
      </c>
      <c r="J127" s="4">
        <v>48</v>
      </c>
      <c r="K127" s="4">
        <v>8.1666666666666696</v>
      </c>
      <c r="L127" s="4">
        <v>360074.625</v>
      </c>
      <c r="M127" s="4">
        <v>44090.770408163298</v>
      </c>
      <c r="N127" s="4" t="s">
        <v>54</v>
      </c>
      <c r="O127" s="4">
        <v>0.24907550992612501</v>
      </c>
      <c r="P127" s="4">
        <v>0.19146486031198101</v>
      </c>
    </row>
    <row r="128" spans="1:16">
      <c r="A128" s="4" t="s">
        <v>294</v>
      </c>
      <c r="B128" s="4" t="s">
        <v>30</v>
      </c>
      <c r="C128" s="4" t="s">
        <v>295</v>
      </c>
      <c r="D128" s="4" t="s">
        <v>41</v>
      </c>
      <c r="E128" s="4" t="s">
        <v>50</v>
      </c>
      <c r="F128" s="4" t="s">
        <v>34</v>
      </c>
      <c r="G128" s="4">
        <v>1</v>
      </c>
      <c r="H128" s="4">
        <v>382</v>
      </c>
      <c r="I128" s="4">
        <v>17277381</v>
      </c>
      <c r="J128" s="4">
        <v>48</v>
      </c>
      <c r="K128" s="4">
        <v>7.9583333333333304</v>
      </c>
      <c r="L128" s="4">
        <v>359945.4375</v>
      </c>
      <c r="M128" s="4">
        <v>45228.746073298396</v>
      </c>
      <c r="N128" s="4" t="s">
        <v>51</v>
      </c>
      <c r="O128" s="4">
        <v>0.37083045167551698</v>
      </c>
      <c r="P128" s="4">
        <v>0.22651003653905699</v>
      </c>
    </row>
    <row r="129" spans="1:16">
      <c r="A129" s="4" t="s">
        <v>296</v>
      </c>
      <c r="B129" s="4" t="s">
        <v>30</v>
      </c>
      <c r="C129" s="4" t="s">
        <v>297</v>
      </c>
      <c r="D129" s="4" t="s">
        <v>41</v>
      </c>
      <c r="E129" s="4" t="s">
        <v>50</v>
      </c>
      <c r="F129" s="4" t="s">
        <v>34</v>
      </c>
      <c r="G129" s="4">
        <v>1</v>
      </c>
      <c r="H129" s="4">
        <v>366</v>
      </c>
      <c r="I129" s="4">
        <v>17268947</v>
      </c>
      <c r="J129" s="4">
        <v>48</v>
      </c>
      <c r="K129" s="4">
        <v>7.625</v>
      </c>
      <c r="L129" s="4">
        <v>359769.72916666698</v>
      </c>
      <c r="M129" s="4">
        <v>47182.915300546498</v>
      </c>
      <c r="N129" s="4" t="s">
        <v>54</v>
      </c>
      <c r="O129" s="4">
        <v>0.34747121523970198</v>
      </c>
      <c r="P129" s="4">
        <v>0.23064547926840101</v>
      </c>
    </row>
    <row r="130" spans="1:16">
      <c r="A130" s="4" t="s">
        <v>298</v>
      </c>
      <c r="B130" s="4" t="s">
        <v>30</v>
      </c>
      <c r="C130" s="4" t="s">
        <v>299</v>
      </c>
      <c r="D130" s="4" t="s">
        <v>32</v>
      </c>
      <c r="E130" s="4" t="s">
        <v>67</v>
      </c>
      <c r="F130" s="4" t="s">
        <v>34</v>
      </c>
      <c r="G130" s="4">
        <v>1</v>
      </c>
      <c r="H130" s="4">
        <v>372</v>
      </c>
      <c r="I130" s="4">
        <v>17267414</v>
      </c>
      <c r="J130" s="4">
        <v>48</v>
      </c>
      <c r="K130" s="4">
        <v>7.75</v>
      </c>
      <c r="L130" s="4">
        <v>359737.79166666698</v>
      </c>
      <c r="M130" s="4">
        <v>46417.779569892497</v>
      </c>
      <c r="N130" s="4" t="s">
        <v>51</v>
      </c>
      <c r="O130" s="4">
        <v>0.30630440667027498</v>
      </c>
      <c r="P130" s="4">
        <v>0.20521231944284901</v>
      </c>
    </row>
    <row r="131" spans="1:16">
      <c r="A131" s="4" t="s">
        <v>300</v>
      </c>
      <c r="B131" s="4" t="s">
        <v>30</v>
      </c>
      <c r="C131" s="4" t="s">
        <v>301</v>
      </c>
      <c r="D131" s="4" t="s">
        <v>32</v>
      </c>
      <c r="E131" s="4" t="s">
        <v>33</v>
      </c>
      <c r="F131" s="4" t="s">
        <v>34</v>
      </c>
      <c r="G131" s="4">
        <v>1</v>
      </c>
      <c r="H131" s="4">
        <v>396</v>
      </c>
      <c r="I131" s="4">
        <v>17250473</v>
      </c>
      <c r="J131" s="4">
        <v>48</v>
      </c>
      <c r="K131" s="4">
        <v>8.25</v>
      </c>
      <c r="L131" s="4">
        <v>359384.85416666698</v>
      </c>
      <c r="M131" s="4">
        <v>43561.800505050502</v>
      </c>
      <c r="N131" s="4" t="s">
        <v>68</v>
      </c>
      <c r="O131" s="4">
        <v>0.27844633593525198</v>
      </c>
      <c r="P131" s="4">
        <v>0.216460467955889</v>
      </c>
    </row>
    <row r="132" spans="1:16">
      <c r="A132" s="4" t="s">
        <v>302</v>
      </c>
      <c r="B132" s="4" t="s">
        <v>30</v>
      </c>
      <c r="C132" s="4" t="s">
        <v>303</v>
      </c>
      <c r="D132" s="4" t="s">
        <v>41</v>
      </c>
      <c r="E132" s="4" t="s">
        <v>42</v>
      </c>
      <c r="F132" s="4" t="s">
        <v>34</v>
      </c>
      <c r="G132" s="4">
        <v>1</v>
      </c>
      <c r="H132" s="4">
        <v>397</v>
      </c>
      <c r="I132" s="4">
        <v>17239990</v>
      </c>
      <c r="J132" s="4">
        <v>48</v>
      </c>
      <c r="K132" s="4">
        <v>8.2708333333333304</v>
      </c>
      <c r="L132" s="4">
        <v>359166.45833333302</v>
      </c>
      <c r="M132" s="4">
        <v>43425.667506297199</v>
      </c>
      <c r="N132" s="4" t="s">
        <v>51</v>
      </c>
      <c r="O132" s="4">
        <v>0.27827324725826402</v>
      </c>
      <c r="P132" s="4">
        <v>0.19686276833371499</v>
      </c>
    </row>
    <row r="133" spans="1:16">
      <c r="A133" s="4" t="s">
        <v>304</v>
      </c>
      <c r="B133" s="4" t="s">
        <v>30</v>
      </c>
      <c r="C133" s="4" t="s">
        <v>305</v>
      </c>
      <c r="D133" s="4" t="s">
        <v>41</v>
      </c>
      <c r="E133" s="4" t="s">
        <v>50</v>
      </c>
      <c r="F133" s="4" t="s">
        <v>34</v>
      </c>
      <c r="G133" s="4">
        <v>1</v>
      </c>
      <c r="H133" s="4">
        <v>399</v>
      </c>
      <c r="I133" s="4">
        <v>17223509</v>
      </c>
      <c r="J133" s="4">
        <v>48</v>
      </c>
      <c r="K133" s="4">
        <v>8.3125</v>
      </c>
      <c r="L133" s="4">
        <v>358823.10416666698</v>
      </c>
      <c r="M133" s="4">
        <v>43166.689223057598</v>
      </c>
      <c r="N133" s="4" t="s">
        <v>35</v>
      </c>
      <c r="O133" s="4">
        <v>0.31055222254652098</v>
      </c>
      <c r="P133" s="4">
        <v>0.19920093510074199</v>
      </c>
    </row>
    <row r="134" spans="1:16">
      <c r="A134" s="4" t="s">
        <v>306</v>
      </c>
      <c r="B134" s="4" t="s">
        <v>30</v>
      </c>
      <c r="C134" s="4" t="s">
        <v>307</v>
      </c>
      <c r="D134" s="4" t="s">
        <v>41</v>
      </c>
      <c r="E134" s="4" t="s">
        <v>50</v>
      </c>
      <c r="F134" s="4" t="s">
        <v>34</v>
      </c>
      <c r="G134" s="4">
        <v>1</v>
      </c>
      <c r="H134" s="4">
        <v>359</v>
      </c>
      <c r="I134" s="4">
        <v>17164814</v>
      </c>
      <c r="J134" s="4">
        <v>48</v>
      </c>
      <c r="K134" s="4">
        <v>7.4791666666666696</v>
      </c>
      <c r="L134" s="4">
        <v>357600.29166666698</v>
      </c>
      <c r="M134" s="4">
        <v>47812.852367688</v>
      </c>
      <c r="N134" s="4" t="s">
        <v>54</v>
      </c>
      <c r="O134" s="4">
        <v>0.35421222740893099</v>
      </c>
      <c r="P134" s="4">
        <v>0.23667919018835201</v>
      </c>
    </row>
    <row r="135" spans="1:16">
      <c r="A135" s="4" t="s">
        <v>308</v>
      </c>
      <c r="B135" s="4" t="s">
        <v>30</v>
      </c>
      <c r="C135" s="4" t="s">
        <v>309</v>
      </c>
      <c r="D135" s="4" t="s">
        <v>32</v>
      </c>
      <c r="E135" s="4" t="s">
        <v>33</v>
      </c>
      <c r="F135" s="4" t="s">
        <v>34</v>
      </c>
      <c r="G135" s="4">
        <v>1</v>
      </c>
      <c r="H135" s="4">
        <v>382</v>
      </c>
      <c r="I135" s="4">
        <v>17154476</v>
      </c>
      <c r="J135" s="4">
        <v>48</v>
      </c>
      <c r="K135" s="4">
        <v>7.9583333333333304</v>
      </c>
      <c r="L135" s="4">
        <v>357384.91666666698</v>
      </c>
      <c r="M135" s="4">
        <v>44907.005235602097</v>
      </c>
      <c r="N135" s="4" t="s">
        <v>38</v>
      </c>
      <c r="O135" s="4">
        <v>0.25051333541170201</v>
      </c>
      <c r="P135" s="4">
        <v>0.18517394917322699</v>
      </c>
    </row>
    <row r="136" spans="1:16">
      <c r="A136" s="4" t="s">
        <v>310</v>
      </c>
      <c r="B136" s="4" t="s">
        <v>30</v>
      </c>
      <c r="C136" s="4" t="s">
        <v>311</v>
      </c>
      <c r="D136" s="4" t="s">
        <v>32</v>
      </c>
      <c r="E136" s="4" t="s">
        <v>67</v>
      </c>
      <c r="F136" s="4" t="s">
        <v>34</v>
      </c>
      <c r="G136" s="4">
        <v>1</v>
      </c>
      <c r="H136" s="4">
        <v>419</v>
      </c>
      <c r="I136" s="4">
        <v>17144623</v>
      </c>
      <c r="J136" s="4">
        <v>48</v>
      </c>
      <c r="K136" s="4">
        <v>8.7291666666666696</v>
      </c>
      <c r="L136" s="4">
        <v>357179.64583333302</v>
      </c>
      <c r="M136" s="4">
        <v>40917.954653937901</v>
      </c>
      <c r="N136" s="4" t="s">
        <v>68</v>
      </c>
      <c r="O136" s="4">
        <v>0.53650354399743905</v>
      </c>
      <c r="P136" s="4">
        <v>0.39093899428332402</v>
      </c>
    </row>
    <row r="137" spans="1:16">
      <c r="A137" s="4" t="s">
        <v>312</v>
      </c>
      <c r="B137" s="4" t="s">
        <v>30</v>
      </c>
      <c r="C137" s="4" t="s">
        <v>313</v>
      </c>
      <c r="D137" s="4" t="s">
        <v>41</v>
      </c>
      <c r="E137" s="4" t="s">
        <v>50</v>
      </c>
      <c r="F137" s="4" t="s">
        <v>34</v>
      </c>
      <c r="G137" s="4">
        <v>1</v>
      </c>
      <c r="H137" s="4">
        <v>376</v>
      </c>
      <c r="I137" s="4">
        <v>17098169</v>
      </c>
      <c r="J137" s="4">
        <v>48</v>
      </c>
      <c r="K137" s="4">
        <v>7.8333333333333304</v>
      </c>
      <c r="L137" s="4">
        <v>356211.85416666698</v>
      </c>
      <c r="M137" s="4">
        <v>45473.853723404303</v>
      </c>
      <c r="N137" s="4" t="s">
        <v>68</v>
      </c>
      <c r="O137" s="4">
        <v>0.26988421976645599</v>
      </c>
      <c r="P137" s="4">
        <v>0.186899717120216</v>
      </c>
    </row>
    <row r="138" spans="1:16">
      <c r="A138" s="4" t="s">
        <v>314</v>
      </c>
      <c r="B138" s="4" t="s">
        <v>30</v>
      </c>
      <c r="C138" s="4" t="s">
        <v>315</v>
      </c>
      <c r="D138" s="4" t="s">
        <v>32</v>
      </c>
      <c r="E138" s="4" t="s">
        <v>67</v>
      </c>
      <c r="F138" s="4" t="s">
        <v>34</v>
      </c>
      <c r="G138" s="4">
        <v>1</v>
      </c>
      <c r="H138" s="4">
        <v>406</v>
      </c>
      <c r="I138" s="4">
        <v>17054360</v>
      </c>
      <c r="J138" s="4">
        <v>48</v>
      </c>
      <c r="K138" s="4">
        <v>8.4583333333333304</v>
      </c>
      <c r="L138" s="4">
        <v>355299.16666666698</v>
      </c>
      <c r="M138" s="4">
        <v>42005.812807881797</v>
      </c>
      <c r="N138" s="4" t="s">
        <v>54</v>
      </c>
      <c r="O138" s="4">
        <v>0.35150712193245598</v>
      </c>
      <c r="P138" s="4">
        <v>0.21688410570196201</v>
      </c>
    </row>
    <row r="139" spans="1:16">
      <c r="A139" s="4" t="s">
        <v>316</v>
      </c>
      <c r="B139" s="4" t="s">
        <v>30</v>
      </c>
      <c r="C139" s="4" t="s">
        <v>317</v>
      </c>
      <c r="D139" s="4" t="s">
        <v>41</v>
      </c>
      <c r="E139" s="4" t="s">
        <v>50</v>
      </c>
      <c r="F139" s="4" t="s">
        <v>34</v>
      </c>
      <c r="G139" s="4">
        <v>1</v>
      </c>
      <c r="H139" s="4">
        <v>422</v>
      </c>
      <c r="I139" s="4">
        <v>16996416</v>
      </c>
      <c r="J139" s="4">
        <v>48</v>
      </c>
      <c r="K139" s="4">
        <v>8.7916666666666696</v>
      </c>
      <c r="L139" s="4">
        <v>354092</v>
      </c>
      <c r="M139" s="4">
        <v>40275.867298578203</v>
      </c>
      <c r="N139" s="4" t="s">
        <v>51</v>
      </c>
      <c r="O139" s="4">
        <v>0.28813050939680501</v>
      </c>
      <c r="P139" s="4">
        <v>0.19477572651115099</v>
      </c>
    </row>
    <row r="140" spans="1:16">
      <c r="A140" s="4" t="s">
        <v>318</v>
      </c>
      <c r="B140" s="4" t="s">
        <v>30</v>
      </c>
      <c r="C140" s="4" t="s">
        <v>319</v>
      </c>
      <c r="D140" s="4" t="s">
        <v>41</v>
      </c>
      <c r="E140" s="4" t="s">
        <v>42</v>
      </c>
      <c r="F140" s="4" t="s">
        <v>34</v>
      </c>
      <c r="G140" s="4">
        <v>1</v>
      </c>
      <c r="H140" s="4">
        <v>388</v>
      </c>
      <c r="I140" s="4">
        <v>16994328</v>
      </c>
      <c r="J140" s="4">
        <v>48</v>
      </c>
      <c r="K140" s="4">
        <v>8.0833333333333304</v>
      </c>
      <c r="L140" s="4">
        <v>354048.5</v>
      </c>
      <c r="M140" s="4">
        <v>43799.814432989697</v>
      </c>
      <c r="N140" s="4" t="s">
        <v>47</v>
      </c>
      <c r="O140" s="4">
        <v>0.22485702288434101</v>
      </c>
      <c r="P140" s="4">
        <v>0.17213856151038701</v>
      </c>
    </row>
    <row r="141" spans="1:16">
      <c r="A141" s="4" t="s">
        <v>320</v>
      </c>
      <c r="B141" s="4" t="s">
        <v>30</v>
      </c>
      <c r="C141" s="4" t="s">
        <v>321</v>
      </c>
      <c r="D141" s="4" t="s">
        <v>41</v>
      </c>
      <c r="E141" s="4" t="s">
        <v>42</v>
      </c>
      <c r="F141" s="4" t="s">
        <v>34</v>
      </c>
      <c r="G141" s="4">
        <v>1</v>
      </c>
      <c r="H141" s="4">
        <v>399</v>
      </c>
      <c r="I141" s="4">
        <v>16935870</v>
      </c>
      <c r="J141" s="4">
        <v>48</v>
      </c>
      <c r="K141" s="4">
        <v>8.3125</v>
      </c>
      <c r="L141" s="4">
        <v>352830.625</v>
      </c>
      <c r="M141" s="4">
        <v>42445.789473684199</v>
      </c>
      <c r="N141" s="4" t="s">
        <v>51</v>
      </c>
      <c r="O141" s="4">
        <v>0.211046199575221</v>
      </c>
      <c r="P141" s="4">
        <v>0.17034325546738799</v>
      </c>
    </row>
    <row r="142" spans="1:16">
      <c r="A142" s="4" t="s">
        <v>322</v>
      </c>
      <c r="B142" s="4" t="s">
        <v>30</v>
      </c>
      <c r="C142" s="4" t="s">
        <v>323</v>
      </c>
      <c r="D142" s="4" t="s">
        <v>41</v>
      </c>
      <c r="E142" s="4" t="s">
        <v>42</v>
      </c>
      <c r="F142" s="4" t="s">
        <v>34</v>
      </c>
      <c r="G142" s="4">
        <v>1</v>
      </c>
      <c r="H142" s="4">
        <v>371</v>
      </c>
      <c r="I142" s="4">
        <v>16840527</v>
      </c>
      <c r="J142" s="4">
        <v>48</v>
      </c>
      <c r="K142" s="4">
        <v>7.7291666666666696</v>
      </c>
      <c r="L142" s="4">
        <v>350844.3125</v>
      </c>
      <c r="M142" s="4">
        <v>45392.256064690002</v>
      </c>
      <c r="N142" s="4" t="s">
        <v>51</v>
      </c>
      <c r="O142" s="4">
        <v>0.38954921066306297</v>
      </c>
      <c r="P142" s="4">
        <v>0.26475209106564102</v>
      </c>
    </row>
    <row r="143" spans="1:16">
      <c r="A143" s="4" t="s">
        <v>324</v>
      </c>
      <c r="B143" s="4" t="s">
        <v>30</v>
      </c>
      <c r="C143" s="4" t="s">
        <v>325</v>
      </c>
      <c r="D143" s="4" t="s">
        <v>41</v>
      </c>
      <c r="E143" s="4" t="s">
        <v>42</v>
      </c>
      <c r="F143" s="4" t="s">
        <v>34</v>
      </c>
      <c r="G143" s="4">
        <v>1</v>
      </c>
      <c r="H143" s="4">
        <v>364</v>
      </c>
      <c r="I143" s="4">
        <v>16824928</v>
      </c>
      <c r="J143" s="4">
        <v>48</v>
      </c>
      <c r="K143" s="4">
        <v>7.5833333333333304</v>
      </c>
      <c r="L143" s="4">
        <v>350519.33333333302</v>
      </c>
      <c r="M143" s="4">
        <v>46222.329670329702</v>
      </c>
      <c r="N143" s="4" t="s">
        <v>51</v>
      </c>
      <c r="O143" s="4">
        <v>0.30569789065367797</v>
      </c>
      <c r="P143" s="4">
        <v>0.20860912439562801</v>
      </c>
    </row>
    <row r="144" spans="1:16">
      <c r="A144" s="4" t="s">
        <v>326</v>
      </c>
      <c r="B144" s="4" t="s">
        <v>30</v>
      </c>
      <c r="C144" s="4" t="s">
        <v>327</v>
      </c>
      <c r="D144" s="4" t="s">
        <v>32</v>
      </c>
      <c r="E144" s="4" t="s">
        <v>67</v>
      </c>
      <c r="F144" s="4" t="s">
        <v>34</v>
      </c>
      <c r="G144" s="4">
        <v>1</v>
      </c>
      <c r="H144" s="4">
        <v>353</v>
      </c>
      <c r="I144" s="4">
        <v>16809160</v>
      </c>
      <c r="J144" s="4">
        <v>48</v>
      </c>
      <c r="K144" s="4">
        <v>7.3541666666666696</v>
      </c>
      <c r="L144" s="4">
        <v>350190.83333333302</v>
      </c>
      <c r="M144" s="4">
        <v>47618.016997167098</v>
      </c>
      <c r="N144" s="4" t="s">
        <v>47</v>
      </c>
      <c r="O144" s="4">
        <v>0.33075858638980199</v>
      </c>
      <c r="P144" s="4">
        <v>0.221792917816965</v>
      </c>
    </row>
    <row r="145" spans="1:16">
      <c r="A145" s="4" t="s">
        <v>328</v>
      </c>
      <c r="B145" s="4" t="s">
        <v>30</v>
      </c>
      <c r="C145" s="4" t="s">
        <v>329</v>
      </c>
      <c r="D145" s="4" t="s">
        <v>41</v>
      </c>
      <c r="E145" s="4" t="s">
        <v>50</v>
      </c>
      <c r="F145" s="4" t="s">
        <v>34</v>
      </c>
      <c r="G145" s="4">
        <v>1</v>
      </c>
      <c r="H145" s="4">
        <v>388</v>
      </c>
      <c r="I145" s="4">
        <v>16786054</v>
      </c>
      <c r="J145" s="4">
        <v>48</v>
      </c>
      <c r="K145" s="4">
        <v>8.0833333333333304</v>
      </c>
      <c r="L145" s="4">
        <v>349709.45833333302</v>
      </c>
      <c r="M145" s="4">
        <v>43263.025773195899</v>
      </c>
      <c r="N145" s="4" t="s">
        <v>51</v>
      </c>
      <c r="O145" s="4">
        <v>0.231990972982691</v>
      </c>
      <c r="P145" s="4">
        <v>0.17952158059673401</v>
      </c>
    </row>
    <row r="146" spans="1:16">
      <c r="A146" s="4" t="s">
        <v>330</v>
      </c>
      <c r="B146" s="4" t="s">
        <v>30</v>
      </c>
      <c r="C146" s="4" t="s">
        <v>331</v>
      </c>
      <c r="D146" s="4" t="s">
        <v>32</v>
      </c>
      <c r="E146" s="4" t="s">
        <v>33</v>
      </c>
      <c r="F146" s="4" t="s">
        <v>34</v>
      </c>
      <c r="G146" s="4">
        <v>1</v>
      </c>
      <c r="H146" s="4">
        <v>398</v>
      </c>
      <c r="I146" s="4">
        <v>16780942</v>
      </c>
      <c r="J146" s="4">
        <v>48</v>
      </c>
      <c r="K146" s="4">
        <v>8.2916666666666696</v>
      </c>
      <c r="L146" s="4">
        <v>349602.95833333302</v>
      </c>
      <c r="M146" s="4">
        <v>42163.170854271397</v>
      </c>
      <c r="N146" s="4" t="s">
        <v>35</v>
      </c>
      <c r="O146" s="4">
        <v>0.25195218480583498</v>
      </c>
      <c r="P146" s="4">
        <v>0.17555200875147101</v>
      </c>
    </row>
    <row r="147" spans="1:16">
      <c r="A147" s="4" t="s">
        <v>332</v>
      </c>
      <c r="B147" s="4" t="s">
        <v>30</v>
      </c>
      <c r="C147" s="4" t="s">
        <v>333</v>
      </c>
      <c r="D147" s="4" t="s">
        <v>32</v>
      </c>
      <c r="E147" s="4" t="s">
        <v>67</v>
      </c>
      <c r="F147" s="4" t="s">
        <v>34</v>
      </c>
      <c r="G147" s="4">
        <v>1</v>
      </c>
      <c r="H147" s="4">
        <v>383</v>
      </c>
      <c r="I147" s="4">
        <v>16754942</v>
      </c>
      <c r="J147" s="4">
        <v>48</v>
      </c>
      <c r="K147" s="4">
        <v>7.9791666666666696</v>
      </c>
      <c r="L147" s="4">
        <v>349061.29166666698</v>
      </c>
      <c r="M147" s="4">
        <v>43746.584856396898</v>
      </c>
      <c r="N147" s="4" t="s">
        <v>47</v>
      </c>
      <c r="O147" s="4">
        <v>0.44234918867519801</v>
      </c>
      <c r="P147" s="4">
        <v>0.26368936284472899</v>
      </c>
    </row>
    <row r="148" spans="1:16">
      <c r="A148" s="4" t="s">
        <v>334</v>
      </c>
      <c r="B148" s="4" t="s">
        <v>30</v>
      </c>
      <c r="C148" s="4" t="s">
        <v>335</v>
      </c>
      <c r="D148" s="4" t="s">
        <v>32</v>
      </c>
      <c r="E148" s="4" t="s">
        <v>33</v>
      </c>
      <c r="F148" s="4" t="s">
        <v>34</v>
      </c>
      <c r="G148" s="4">
        <v>1</v>
      </c>
      <c r="H148" s="4">
        <v>397</v>
      </c>
      <c r="I148" s="4">
        <v>16753635</v>
      </c>
      <c r="J148" s="4">
        <v>48</v>
      </c>
      <c r="K148" s="4">
        <v>8.2708333333333304</v>
      </c>
      <c r="L148" s="4">
        <v>349034.0625</v>
      </c>
      <c r="M148" s="4">
        <v>42200.591939546597</v>
      </c>
      <c r="N148" s="4" t="s">
        <v>35</v>
      </c>
      <c r="O148" s="4">
        <v>0.27521406548489302</v>
      </c>
      <c r="P148" s="4">
        <v>0.19406490268566701</v>
      </c>
    </row>
    <row r="149" spans="1:16">
      <c r="A149" s="4" t="s">
        <v>336</v>
      </c>
      <c r="B149" s="4" t="s">
        <v>30</v>
      </c>
      <c r="C149" s="4" t="s">
        <v>337</v>
      </c>
      <c r="D149" s="4" t="s">
        <v>41</v>
      </c>
      <c r="E149" s="4" t="s">
        <v>42</v>
      </c>
      <c r="F149" s="4" t="s">
        <v>34</v>
      </c>
      <c r="G149" s="4">
        <v>1</v>
      </c>
      <c r="H149" s="4">
        <v>403</v>
      </c>
      <c r="I149" s="4">
        <v>16744798</v>
      </c>
      <c r="J149" s="4">
        <v>48</v>
      </c>
      <c r="K149" s="4">
        <v>8.3958333333333304</v>
      </c>
      <c r="L149" s="4">
        <v>348849.95833333302</v>
      </c>
      <c r="M149" s="4">
        <v>41550.367245657602</v>
      </c>
      <c r="N149" s="4" t="s">
        <v>68</v>
      </c>
      <c r="O149" s="4">
        <v>0.27256076782771599</v>
      </c>
      <c r="P149" s="4">
        <v>0.213800957152429</v>
      </c>
    </row>
    <row r="150" spans="1:16">
      <c r="A150" s="4" t="s">
        <v>338</v>
      </c>
      <c r="B150" s="4" t="s">
        <v>30</v>
      </c>
      <c r="C150" s="4" t="s">
        <v>339</v>
      </c>
      <c r="D150" s="4" t="s">
        <v>41</v>
      </c>
      <c r="E150" s="4" t="s">
        <v>42</v>
      </c>
      <c r="F150" s="4" t="s">
        <v>34</v>
      </c>
      <c r="G150" s="4">
        <v>1</v>
      </c>
      <c r="H150" s="4">
        <v>372</v>
      </c>
      <c r="I150" s="4">
        <v>16730721</v>
      </c>
      <c r="J150" s="4">
        <v>48</v>
      </c>
      <c r="K150" s="4">
        <v>7.75</v>
      </c>
      <c r="L150" s="4">
        <v>348556.6875</v>
      </c>
      <c r="M150" s="4">
        <v>44975.056451612902</v>
      </c>
      <c r="N150" s="4" t="s">
        <v>51</v>
      </c>
      <c r="O150" s="4">
        <v>0.25335046827928098</v>
      </c>
      <c r="P150" s="4">
        <v>0.204841582018186</v>
      </c>
    </row>
    <row r="151" spans="1:16">
      <c r="A151" s="4" t="s">
        <v>340</v>
      </c>
      <c r="B151" s="4" t="s">
        <v>30</v>
      </c>
      <c r="C151" s="4" t="s">
        <v>341</v>
      </c>
      <c r="D151" s="4" t="s">
        <v>41</v>
      </c>
      <c r="E151" s="4" t="s">
        <v>50</v>
      </c>
      <c r="F151" s="4" t="s">
        <v>34</v>
      </c>
      <c r="G151" s="4">
        <v>1</v>
      </c>
      <c r="H151" s="4">
        <v>419</v>
      </c>
      <c r="I151" s="4">
        <v>16699897</v>
      </c>
      <c r="J151" s="4">
        <v>48</v>
      </c>
      <c r="K151" s="4">
        <v>8.7291666666666696</v>
      </c>
      <c r="L151" s="4">
        <v>347914.52083333302</v>
      </c>
      <c r="M151" s="4">
        <v>39856.556085918899</v>
      </c>
      <c r="N151" s="4" t="s">
        <v>51</v>
      </c>
      <c r="O151" s="4">
        <v>0.26489468767382202</v>
      </c>
      <c r="P151" s="4">
        <v>0.19102359747810399</v>
      </c>
    </row>
    <row r="152" spans="1:16">
      <c r="A152" s="4" t="s">
        <v>342</v>
      </c>
      <c r="B152" s="4" t="s">
        <v>30</v>
      </c>
      <c r="C152" s="4" t="s">
        <v>343</v>
      </c>
      <c r="D152" s="4" t="s">
        <v>32</v>
      </c>
      <c r="E152" s="4" t="s">
        <v>67</v>
      </c>
      <c r="F152" s="4" t="s">
        <v>34</v>
      </c>
      <c r="G152" s="4">
        <v>1</v>
      </c>
      <c r="H152" s="4">
        <v>436</v>
      </c>
      <c r="I152" s="4">
        <v>16649251</v>
      </c>
      <c r="J152" s="4">
        <v>48</v>
      </c>
      <c r="K152" s="4">
        <v>9.0833333333333304</v>
      </c>
      <c r="L152" s="4">
        <v>346859.39583333302</v>
      </c>
      <c r="M152" s="4">
        <v>38186.355504587198</v>
      </c>
      <c r="N152" s="4" t="s">
        <v>68</v>
      </c>
      <c r="O152" s="4">
        <v>0.23380919658187599</v>
      </c>
      <c r="P152" s="4">
        <v>0.18208042502948599</v>
      </c>
    </row>
    <row r="153" spans="1:16">
      <c r="A153" s="4" t="s">
        <v>344</v>
      </c>
      <c r="B153" s="4" t="s">
        <v>30</v>
      </c>
      <c r="C153" s="4" t="s">
        <v>345</v>
      </c>
      <c r="D153" s="4" t="s">
        <v>32</v>
      </c>
      <c r="E153" s="4" t="s">
        <v>67</v>
      </c>
      <c r="F153" s="4" t="s">
        <v>34</v>
      </c>
      <c r="G153" s="4">
        <v>1</v>
      </c>
      <c r="H153" s="4">
        <v>389</v>
      </c>
      <c r="I153" s="4">
        <v>16630149</v>
      </c>
      <c r="J153" s="4">
        <v>48</v>
      </c>
      <c r="K153" s="4">
        <v>8.1041666666666696</v>
      </c>
      <c r="L153" s="4">
        <v>346461.4375</v>
      </c>
      <c r="M153" s="4">
        <v>42751.025706940898</v>
      </c>
      <c r="N153" s="4" t="s">
        <v>35</v>
      </c>
      <c r="O153" s="4">
        <v>0.46493395819845001</v>
      </c>
      <c r="P153" s="4">
        <v>0.275199105956626</v>
      </c>
    </row>
    <row r="154" spans="1:16">
      <c r="A154" s="4" t="s">
        <v>346</v>
      </c>
      <c r="B154" s="4" t="s">
        <v>30</v>
      </c>
      <c r="C154" s="4" t="s">
        <v>347</v>
      </c>
      <c r="D154" s="4" t="s">
        <v>41</v>
      </c>
      <c r="E154" s="4" t="s">
        <v>42</v>
      </c>
      <c r="F154" s="4" t="s">
        <v>34</v>
      </c>
      <c r="G154" s="4">
        <v>1</v>
      </c>
      <c r="H154" s="4">
        <v>390</v>
      </c>
      <c r="I154" s="4">
        <v>16547668</v>
      </c>
      <c r="J154" s="4">
        <v>48</v>
      </c>
      <c r="K154" s="4">
        <v>8.125</v>
      </c>
      <c r="L154" s="4">
        <v>344743.08333333302</v>
      </c>
      <c r="M154" s="4">
        <v>42429.917948718001</v>
      </c>
      <c r="N154" s="4" t="s">
        <v>54</v>
      </c>
      <c r="O154" s="4">
        <v>0.270770419130962</v>
      </c>
      <c r="P154" s="4">
        <v>0.18695610154574099</v>
      </c>
    </row>
    <row r="155" spans="1:16">
      <c r="A155" s="4" t="s">
        <v>348</v>
      </c>
      <c r="B155" s="4" t="s">
        <v>30</v>
      </c>
      <c r="C155" s="4" t="s">
        <v>349</v>
      </c>
      <c r="D155" s="4" t="s">
        <v>41</v>
      </c>
      <c r="E155" s="4" t="s">
        <v>42</v>
      </c>
      <c r="F155" s="4" t="s">
        <v>34</v>
      </c>
      <c r="G155" s="4">
        <v>1</v>
      </c>
      <c r="H155" s="4">
        <v>369</v>
      </c>
      <c r="I155" s="4">
        <v>16539119.331983799</v>
      </c>
      <c r="J155" s="4">
        <v>48</v>
      </c>
      <c r="K155" s="4">
        <v>7.6875</v>
      </c>
      <c r="L155" s="4">
        <v>344564.98608299601</v>
      </c>
      <c r="M155" s="4">
        <v>44821.461604292199</v>
      </c>
      <c r="N155" s="4" t="s">
        <v>68</v>
      </c>
      <c r="O155" s="4">
        <v>0.243786378166024</v>
      </c>
      <c r="P155" s="4">
        <v>0.18558364241504599</v>
      </c>
    </row>
    <row r="156" spans="1:16">
      <c r="A156" s="4" t="s">
        <v>350</v>
      </c>
      <c r="B156" s="4" t="s">
        <v>30</v>
      </c>
      <c r="C156" s="4" t="s">
        <v>351</v>
      </c>
      <c r="D156" s="4" t="s">
        <v>41</v>
      </c>
      <c r="E156" s="4" t="s">
        <v>42</v>
      </c>
      <c r="F156" s="4" t="s">
        <v>34</v>
      </c>
      <c r="G156" s="4">
        <v>1</v>
      </c>
      <c r="H156" s="4">
        <v>407</v>
      </c>
      <c r="I156" s="4">
        <v>16472204</v>
      </c>
      <c r="J156" s="4">
        <v>47</v>
      </c>
      <c r="K156" s="4">
        <v>8.6595744680851094</v>
      </c>
      <c r="L156" s="4">
        <v>350472.42553191498</v>
      </c>
      <c r="M156" s="4">
        <v>40472.245700245701</v>
      </c>
      <c r="N156" s="4" t="s">
        <v>35</v>
      </c>
      <c r="O156" s="4">
        <v>0.261983035178535</v>
      </c>
      <c r="P156" s="4">
        <v>0.19515295009464201</v>
      </c>
    </row>
    <row r="157" spans="1:16">
      <c r="A157" s="4" t="s">
        <v>352</v>
      </c>
      <c r="B157" s="4" t="s">
        <v>30</v>
      </c>
      <c r="C157" s="4" t="s">
        <v>353</v>
      </c>
      <c r="D157" s="4" t="s">
        <v>41</v>
      </c>
      <c r="E157" s="4" t="s">
        <v>50</v>
      </c>
      <c r="F157" s="4" t="s">
        <v>34</v>
      </c>
      <c r="G157" s="4">
        <v>1</v>
      </c>
      <c r="H157" s="4">
        <v>392</v>
      </c>
      <c r="I157" s="4">
        <v>16467605</v>
      </c>
      <c r="J157" s="4">
        <v>48</v>
      </c>
      <c r="K157" s="4">
        <v>8.1666666666666696</v>
      </c>
      <c r="L157" s="4">
        <v>343075.10416666698</v>
      </c>
      <c r="M157" s="4">
        <v>42009.196428571398</v>
      </c>
      <c r="N157" s="4" t="s">
        <v>51</v>
      </c>
      <c r="O157" s="4">
        <v>0.245925196772694</v>
      </c>
      <c r="P157" s="4">
        <v>0.193951870813487</v>
      </c>
    </row>
    <row r="158" spans="1:16">
      <c r="A158" s="4" t="s">
        <v>354</v>
      </c>
      <c r="B158" s="4" t="s">
        <v>30</v>
      </c>
      <c r="C158" s="4" t="s">
        <v>355</v>
      </c>
      <c r="D158" s="4" t="s">
        <v>41</v>
      </c>
      <c r="E158" s="4" t="s">
        <v>50</v>
      </c>
      <c r="F158" s="4" t="s">
        <v>34</v>
      </c>
      <c r="G158" s="4">
        <v>1</v>
      </c>
      <c r="H158" s="4">
        <v>396</v>
      </c>
      <c r="I158" s="4">
        <v>16460568</v>
      </c>
      <c r="J158" s="4">
        <v>48</v>
      </c>
      <c r="K158" s="4">
        <v>8.25</v>
      </c>
      <c r="L158" s="4">
        <v>342928.5</v>
      </c>
      <c r="M158" s="4">
        <v>41567.090909090897</v>
      </c>
      <c r="N158" s="4" t="s">
        <v>54</v>
      </c>
      <c r="O158" s="4">
        <v>0.33082430691334602</v>
      </c>
      <c r="P158" s="4">
        <v>0.22011381393489499</v>
      </c>
    </row>
    <row r="159" spans="1:16">
      <c r="A159" s="4" t="s">
        <v>356</v>
      </c>
      <c r="B159" s="4" t="s">
        <v>30</v>
      </c>
      <c r="C159" s="4" t="s">
        <v>357</v>
      </c>
      <c r="D159" s="4" t="s">
        <v>32</v>
      </c>
      <c r="E159" s="4" t="s">
        <v>67</v>
      </c>
      <c r="F159" s="4" t="s">
        <v>34</v>
      </c>
      <c r="G159" s="4">
        <v>1</v>
      </c>
      <c r="H159" s="4">
        <v>428</v>
      </c>
      <c r="I159" s="4">
        <v>16454043</v>
      </c>
      <c r="J159" s="4">
        <v>48</v>
      </c>
      <c r="K159" s="4">
        <v>8.9166666666666696</v>
      </c>
      <c r="L159" s="4">
        <v>342792.5625</v>
      </c>
      <c r="M159" s="4">
        <v>38444.025700934602</v>
      </c>
      <c r="N159" s="4" t="s">
        <v>51</v>
      </c>
      <c r="O159" s="4">
        <v>0.28916649847092302</v>
      </c>
      <c r="P159" s="4">
        <v>0.20981229247525399</v>
      </c>
    </row>
    <row r="160" spans="1:16">
      <c r="A160" s="4" t="s">
        <v>358</v>
      </c>
      <c r="B160" s="4" t="s">
        <v>30</v>
      </c>
      <c r="C160" s="4" t="s">
        <v>359</v>
      </c>
      <c r="D160" s="4" t="s">
        <v>41</v>
      </c>
      <c r="E160" s="4" t="s">
        <v>42</v>
      </c>
      <c r="F160" s="4" t="s">
        <v>34</v>
      </c>
      <c r="G160" s="4">
        <v>1</v>
      </c>
      <c r="H160" s="4">
        <v>409</v>
      </c>
      <c r="I160" s="4">
        <v>16331539</v>
      </c>
      <c r="J160" s="4">
        <v>48</v>
      </c>
      <c r="K160" s="4">
        <v>8.5208333333333304</v>
      </c>
      <c r="L160" s="4">
        <v>340240.39583333302</v>
      </c>
      <c r="M160" s="4">
        <v>39930.413202934003</v>
      </c>
      <c r="N160" s="4" t="s">
        <v>68</v>
      </c>
      <c r="O160" s="4">
        <v>0.30886140001869999</v>
      </c>
      <c r="P160" s="4">
        <v>0.20665055832583501</v>
      </c>
    </row>
    <row r="161" spans="1:16">
      <c r="A161" s="4" t="s">
        <v>360</v>
      </c>
      <c r="B161" s="4" t="s">
        <v>30</v>
      </c>
      <c r="C161" s="4" t="s">
        <v>361</v>
      </c>
      <c r="D161" s="4" t="s">
        <v>32</v>
      </c>
      <c r="E161" s="4" t="s">
        <v>67</v>
      </c>
      <c r="F161" s="4" t="s">
        <v>34</v>
      </c>
      <c r="G161" s="4">
        <v>1</v>
      </c>
      <c r="H161" s="4">
        <v>359</v>
      </c>
      <c r="I161" s="4">
        <v>16316094</v>
      </c>
      <c r="J161" s="4">
        <v>48</v>
      </c>
      <c r="K161" s="4">
        <v>7.4791666666666696</v>
      </c>
      <c r="L161" s="4">
        <v>339918.625</v>
      </c>
      <c r="M161" s="4">
        <v>45448.7298050139</v>
      </c>
      <c r="N161" s="4" t="s">
        <v>54</v>
      </c>
      <c r="O161" s="4">
        <v>0.32157144963739498</v>
      </c>
      <c r="P161" s="4">
        <v>0.204849438290472</v>
      </c>
    </row>
    <row r="162" spans="1:16">
      <c r="A162" s="4" t="s">
        <v>362</v>
      </c>
      <c r="B162" s="4" t="s">
        <v>30</v>
      </c>
      <c r="C162" s="4" t="s">
        <v>363</v>
      </c>
      <c r="D162" s="4" t="s">
        <v>32</v>
      </c>
      <c r="E162" s="4" t="s">
        <v>67</v>
      </c>
      <c r="F162" s="4" t="s">
        <v>34</v>
      </c>
      <c r="G162" s="4">
        <v>1</v>
      </c>
      <c r="H162" s="4">
        <v>387</v>
      </c>
      <c r="I162" s="4">
        <v>16313574</v>
      </c>
      <c r="J162" s="4">
        <v>48</v>
      </c>
      <c r="K162" s="4">
        <v>8.0625</v>
      </c>
      <c r="L162" s="4">
        <v>339866.125</v>
      </c>
      <c r="M162" s="4">
        <v>42153.9379844961</v>
      </c>
      <c r="N162" s="4" t="s">
        <v>54</v>
      </c>
      <c r="O162" s="4">
        <v>0.236591503492736</v>
      </c>
      <c r="P162" s="4">
        <v>0.18087177232181401</v>
      </c>
    </row>
    <row r="163" spans="1:16">
      <c r="A163" s="4" t="s">
        <v>364</v>
      </c>
      <c r="B163" s="4" t="s">
        <v>30</v>
      </c>
      <c r="C163" s="4" t="s">
        <v>365</v>
      </c>
      <c r="D163" s="4" t="s">
        <v>41</v>
      </c>
      <c r="E163" s="4" t="s">
        <v>42</v>
      </c>
      <c r="F163" s="4" t="s">
        <v>34</v>
      </c>
      <c r="G163" s="4">
        <v>1</v>
      </c>
      <c r="H163" s="4">
        <v>393</v>
      </c>
      <c r="I163" s="4">
        <v>16291044</v>
      </c>
      <c r="J163" s="4">
        <v>48</v>
      </c>
      <c r="K163" s="4">
        <v>8.1875</v>
      </c>
      <c r="L163" s="4">
        <v>339396.75</v>
      </c>
      <c r="M163" s="4">
        <v>41453.038167938903</v>
      </c>
      <c r="N163" s="4" t="s">
        <v>54</v>
      </c>
      <c r="O163" s="4">
        <v>0.33523370264054297</v>
      </c>
      <c r="P163" s="4">
        <v>0.20906805149457</v>
      </c>
    </row>
    <row r="164" spans="1:16">
      <c r="A164" s="4" t="s">
        <v>366</v>
      </c>
      <c r="B164" s="4" t="s">
        <v>30</v>
      </c>
      <c r="C164" s="4" t="s">
        <v>367</v>
      </c>
      <c r="D164" s="4" t="s">
        <v>41</v>
      </c>
      <c r="E164" s="4" t="s">
        <v>42</v>
      </c>
      <c r="F164" s="4" t="s">
        <v>34</v>
      </c>
      <c r="G164" s="4">
        <v>1</v>
      </c>
      <c r="H164" s="4">
        <v>386</v>
      </c>
      <c r="I164" s="4">
        <v>16287002</v>
      </c>
      <c r="J164" s="4">
        <v>48</v>
      </c>
      <c r="K164" s="4">
        <v>8.0416666666666696</v>
      </c>
      <c r="L164" s="4">
        <v>339312.54166666698</v>
      </c>
      <c r="M164" s="4">
        <v>42194.305699481898</v>
      </c>
      <c r="N164" s="4" t="s">
        <v>68</v>
      </c>
      <c r="O164" s="4">
        <v>0.29432967466940801</v>
      </c>
      <c r="P164" s="4">
        <v>0.203810132218362</v>
      </c>
    </row>
    <row r="165" spans="1:16">
      <c r="A165" s="4" t="s">
        <v>368</v>
      </c>
      <c r="B165" s="4" t="s">
        <v>30</v>
      </c>
      <c r="C165" s="4" t="s">
        <v>369</v>
      </c>
      <c r="D165" s="4" t="s">
        <v>32</v>
      </c>
      <c r="E165" s="4" t="s">
        <v>33</v>
      </c>
      <c r="F165" s="4" t="s">
        <v>34</v>
      </c>
      <c r="G165" s="4">
        <v>1</v>
      </c>
      <c r="H165" s="4">
        <v>348</v>
      </c>
      <c r="I165" s="4">
        <v>16258870</v>
      </c>
      <c r="J165" s="4">
        <v>48</v>
      </c>
      <c r="K165" s="4">
        <v>7.25</v>
      </c>
      <c r="L165" s="4">
        <v>338726.45833333302</v>
      </c>
      <c r="M165" s="4">
        <v>46720.8908045977</v>
      </c>
      <c r="N165" s="4" t="s">
        <v>51</v>
      </c>
      <c r="O165" s="4">
        <v>0.27173007718248599</v>
      </c>
      <c r="P165" s="4">
        <v>0.20964347110335299</v>
      </c>
    </row>
    <row r="166" spans="1:16">
      <c r="A166" s="4" t="s">
        <v>370</v>
      </c>
      <c r="B166" s="4" t="s">
        <v>30</v>
      </c>
      <c r="C166" s="4" t="s">
        <v>371</v>
      </c>
      <c r="D166" s="4" t="s">
        <v>41</v>
      </c>
      <c r="E166" s="4" t="s">
        <v>50</v>
      </c>
      <c r="F166" s="4" t="s">
        <v>34</v>
      </c>
      <c r="G166" s="4">
        <v>1</v>
      </c>
      <c r="H166" s="4">
        <v>386</v>
      </c>
      <c r="I166" s="4">
        <v>16240979</v>
      </c>
      <c r="J166" s="4">
        <v>48</v>
      </c>
      <c r="K166" s="4">
        <v>8.0416666666666696</v>
      </c>
      <c r="L166" s="4">
        <v>338353.72916666698</v>
      </c>
      <c r="M166" s="4">
        <v>42075.075129533703</v>
      </c>
      <c r="N166" s="4" t="s">
        <v>35</v>
      </c>
      <c r="O166" s="4">
        <v>0.33726070331105001</v>
      </c>
      <c r="P166" s="4">
        <v>0.22039718522794299</v>
      </c>
    </row>
    <row r="167" spans="1:16">
      <c r="A167" s="4" t="s">
        <v>372</v>
      </c>
      <c r="B167" s="4" t="s">
        <v>30</v>
      </c>
      <c r="C167" s="4" t="s">
        <v>373</v>
      </c>
      <c r="D167" s="4" t="s">
        <v>41</v>
      </c>
      <c r="E167" s="4" t="s">
        <v>50</v>
      </c>
      <c r="F167" s="4" t="s">
        <v>34</v>
      </c>
      <c r="G167" s="4">
        <v>1</v>
      </c>
      <c r="H167" s="4">
        <v>369</v>
      </c>
      <c r="I167" s="4">
        <v>16207564</v>
      </c>
      <c r="J167" s="4">
        <v>48</v>
      </c>
      <c r="K167" s="4">
        <v>7.6875</v>
      </c>
      <c r="L167" s="4">
        <v>337657.58333333302</v>
      </c>
      <c r="M167" s="4">
        <v>43922.937669376697</v>
      </c>
      <c r="N167" s="4" t="s">
        <v>54</v>
      </c>
      <c r="O167" s="4">
        <v>0.224930779233696</v>
      </c>
      <c r="P167" s="4">
        <v>0.17396617610116299</v>
      </c>
    </row>
    <row r="168" spans="1:16">
      <c r="A168" s="4" t="s">
        <v>374</v>
      </c>
      <c r="B168" s="4" t="s">
        <v>30</v>
      </c>
      <c r="C168" s="4" t="s">
        <v>375</v>
      </c>
      <c r="D168" s="4" t="s">
        <v>41</v>
      </c>
      <c r="E168" s="4" t="s">
        <v>50</v>
      </c>
      <c r="F168" s="4" t="s">
        <v>34</v>
      </c>
      <c r="G168" s="4">
        <v>1</v>
      </c>
      <c r="H168" s="4">
        <v>366</v>
      </c>
      <c r="I168" s="4">
        <v>16188040</v>
      </c>
      <c r="J168" s="4">
        <v>48</v>
      </c>
      <c r="K168" s="4">
        <v>7.625</v>
      </c>
      <c r="L168" s="4">
        <v>337250.83333333302</v>
      </c>
      <c r="M168" s="4">
        <v>44229.617486338801</v>
      </c>
      <c r="N168" s="4" t="s">
        <v>54</v>
      </c>
      <c r="O168" s="4">
        <v>0.220060118457824</v>
      </c>
      <c r="P168" s="4">
        <v>0.18133597394235099</v>
      </c>
    </row>
    <row r="169" spans="1:16">
      <c r="A169" s="4" t="s">
        <v>376</v>
      </c>
      <c r="B169" s="4" t="s">
        <v>30</v>
      </c>
      <c r="C169" s="4" t="s">
        <v>377</v>
      </c>
      <c r="D169" s="4" t="s">
        <v>41</v>
      </c>
      <c r="E169" s="4" t="s">
        <v>42</v>
      </c>
      <c r="F169" s="4" t="s">
        <v>34</v>
      </c>
      <c r="G169" s="4">
        <v>1</v>
      </c>
      <c r="H169" s="4">
        <v>371</v>
      </c>
      <c r="I169" s="4">
        <v>16170352</v>
      </c>
      <c r="J169" s="4">
        <v>48</v>
      </c>
      <c r="K169" s="4">
        <v>7.7291666666666696</v>
      </c>
      <c r="L169" s="4">
        <v>336882.33333333302</v>
      </c>
      <c r="M169" s="4">
        <v>43585.8544474394</v>
      </c>
      <c r="N169" s="4" t="s">
        <v>51</v>
      </c>
      <c r="O169" s="4">
        <v>0.33938921057500798</v>
      </c>
      <c r="P169" s="4">
        <v>0.212085945695551</v>
      </c>
    </row>
    <row r="170" spans="1:16">
      <c r="A170" s="4" t="s">
        <v>378</v>
      </c>
      <c r="B170" s="4" t="s">
        <v>30</v>
      </c>
      <c r="C170" s="4" t="s">
        <v>379</v>
      </c>
      <c r="D170" s="4" t="s">
        <v>32</v>
      </c>
      <c r="E170" s="4" t="s">
        <v>33</v>
      </c>
      <c r="F170" s="4" t="s">
        <v>34</v>
      </c>
      <c r="G170" s="4">
        <v>1</v>
      </c>
      <c r="H170" s="4">
        <v>371</v>
      </c>
      <c r="I170" s="4">
        <v>16144534</v>
      </c>
      <c r="J170" s="4">
        <v>48</v>
      </c>
      <c r="K170" s="4">
        <v>7.7291666666666696</v>
      </c>
      <c r="L170" s="4">
        <v>336344.45833333302</v>
      </c>
      <c r="M170" s="4">
        <v>43516.264150943403</v>
      </c>
      <c r="N170" s="4" t="s">
        <v>51</v>
      </c>
      <c r="O170" s="4">
        <v>0.29534398453371302</v>
      </c>
      <c r="P170" s="4">
        <v>0.202939664770941</v>
      </c>
    </row>
    <row r="171" spans="1:16">
      <c r="A171" s="4" t="s">
        <v>380</v>
      </c>
      <c r="B171" s="4" t="s">
        <v>30</v>
      </c>
      <c r="C171" s="4" t="s">
        <v>381</v>
      </c>
      <c r="D171" s="4" t="s">
        <v>41</v>
      </c>
      <c r="E171" s="4" t="s">
        <v>50</v>
      </c>
      <c r="F171" s="4" t="s">
        <v>34</v>
      </c>
      <c r="G171" s="4">
        <v>1</v>
      </c>
      <c r="H171" s="4">
        <v>402</v>
      </c>
      <c r="I171" s="4">
        <v>16124613</v>
      </c>
      <c r="J171" s="4">
        <v>48</v>
      </c>
      <c r="K171" s="4">
        <v>8.375</v>
      </c>
      <c r="L171" s="4">
        <v>335929.4375</v>
      </c>
      <c r="M171" s="4">
        <v>40110.977611940303</v>
      </c>
      <c r="N171" s="4" t="s">
        <v>51</v>
      </c>
      <c r="O171" s="4">
        <v>0.29858279389402997</v>
      </c>
      <c r="P171" s="4">
        <v>0.211132005771965</v>
      </c>
    </row>
    <row r="172" spans="1:16">
      <c r="A172" s="4" t="s">
        <v>382</v>
      </c>
      <c r="B172" s="4" t="s">
        <v>30</v>
      </c>
      <c r="C172" s="4" t="s">
        <v>383</v>
      </c>
      <c r="D172" s="4" t="s">
        <v>32</v>
      </c>
      <c r="E172" s="4" t="s">
        <v>67</v>
      </c>
      <c r="F172" s="4" t="s">
        <v>34</v>
      </c>
      <c r="G172" s="4">
        <v>1</v>
      </c>
      <c r="H172" s="4">
        <v>434</v>
      </c>
      <c r="I172" s="4">
        <v>16112843</v>
      </c>
      <c r="J172" s="4">
        <v>48</v>
      </c>
      <c r="K172" s="4">
        <v>9.0416666666666696</v>
      </c>
      <c r="L172" s="4">
        <v>335684.22916666698</v>
      </c>
      <c r="M172" s="4">
        <v>37126.366359446998</v>
      </c>
      <c r="N172" s="4" t="s">
        <v>51</v>
      </c>
      <c r="O172" s="4">
        <v>0.32489002716652798</v>
      </c>
      <c r="P172" s="4">
        <v>0.20615786989524801</v>
      </c>
    </row>
    <row r="173" spans="1:16">
      <c r="A173" s="4" t="s">
        <v>384</v>
      </c>
      <c r="B173" s="4" t="s">
        <v>30</v>
      </c>
      <c r="C173" s="4" t="s">
        <v>385</v>
      </c>
      <c r="D173" s="4" t="s">
        <v>32</v>
      </c>
      <c r="E173" s="4" t="s">
        <v>33</v>
      </c>
      <c r="F173" s="4" t="s">
        <v>34</v>
      </c>
      <c r="G173" s="4">
        <v>1</v>
      </c>
      <c r="H173" s="4">
        <v>356</v>
      </c>
      <c r="I173" s="4">
        <v>16098974</v>
      </c>
      <c r="J173" s="4">
        <v>48</v>
      </c>
      <c r="K173" s="4">
        <v>7.4166666666666696</v>
      </c>
      <c r="L173" s="4">
        <v>335395.29166666698</v>
      </c>
      <c r="M173" s="4">
        <v>45221.837078651697</v>
      </c>
      <c r="N173" s="4" t="s">
        <v>51</v>
      </c>
      <c r="O173" s="4">
        <v>0.26164673599696497</v>
      </c>
      <c r="P173" s="4">
        <v>0.19463093534634399</v>
      </c>
    </row>
    <row r="174" spans="1:16">
      <c r="A174" s="4" t="s">
        <v>386</v>
      </c>
      <c r="B174" s="4" t="s">
        <v>30</v>
      </c>
      <c r="C174" s="4" t="s">
        <v>387</v>
      </c>
      <c r="D174" s="4" t="s">
        <v>41</v>
      </c>
      <c r="E174" s="4" t="s">
        <v>50</v>
      </c>
      <c r="F174" s="4" t="s">
        <v>34</v>
      </c>
      <c r="G174" s="4">
        <v>1</v>
      </c>
      <c r="H174" s="4">
        <v>408</v>
      </c>
      <c r="I174" s="4">
        <v>16091963</v>
      </c>
      <c r="J174" s="4">
        <v>48</v>
      </c>
      <c r="K174" s="4">
        <v>8.5</v>
      </c>
      <c r="L174" s="4">
        <v>335249.22916666698</v>
      </c>
      <c r="M174" s="4">
        <v>39441.085784313698</v>
      </c>
      <c r="N174" s="4" t="s">
        <v>35</v>
      </c>
      <c r="O174" s="4">
        <v>0.23217701904981999</v>
      </c>
      <c r="P174" s="4">
        <v>0.194349552523334</v>
      </c>
    </row>
    <row r="175" spans="1:16">
      <c r="A175" s="4" t="s">
        <v>388</v>
      </c>
      <c r="B175" s="4" t="s">
        <v>30</v>
      </c>
      <c r="C175" s="4" t="s">
        <v>389</v>
      </c>
      <c r="D175" s="4" t="s">
        <v>41</v>
      </c>
      <c r="E175" s="4" t="s">
        <v>50</v>
      </c>
      <c r="F175" s="4" t="s">
        <v>34</v>
      </c>
      <c r="G175" s="4">
        <v>1</v>
      </c>
      <c r="H175" s="4">
        <v>372</v>
      </c>
      <c r="I175" s="4">
        <v>16037517</v>
      </c>
      <c r="J175" s="4">
        <v>47</v>
      </c>
      <c r="K175" s="4">
        <v>7.9148936170212796</v>
      </c>
      <c r="L175" s="4">
        <v>341223.765957447</v>
      </c>
      <c r="M175" s="4">
        <v>43111.604838709703</v>
      </c>
      <c r="N175" s="4" t="s">
        <v>54</v>
      </c>
      <c r="O175" s="4">
        <v>0.28063059886390102</v>
      </c>
      <c r="P175" s="4">
        <v>0.19492256005758801</v>
      </c>
    </row>
    <row r="176" spans="1:16">
      <c r="A176" s="4" t="s">
        <v>390</v>
      </c>
      <c r="B176" s="4" t="s">
        <v>30</v>
      </c>
      <c r="C176" s="4" t="s">
        <v>391</v>
      </c>
      <c r="D176" s="4" t="s">
        <v>32</v>
      </c>
      <c r="E176" s="4" t="s">
        <v>67</v>
      </c>
      <c r="F176" s="4" t="s">
        <v>34</v>
      </c>
      <c r="G176" s="4">
        <v>1</v>
      </c>
      <c r="H176" s="4">
        <v>374</v>
      </c>
      <c r="I176" s="4">
        <v>16007135.102040799</v>
      </c>
      <c r="J176" s="4">
        <v>48</v>
      </c>
      <c r="K176" s="4">
        <v>7.7916666666666696</v>
      </c>
      <c r="L176" s="4">
        <v>333481.98129251698</v>
      </c>
      <c r="M176" s="4">
        <v>42799.826476044997</v>
      </c>
      <c r="N176" s="4" t="s">
        <v>51</v>
      </c>
      <c r="O176" s="4">
        <v>0.342244696950322</v>
      </c>
      <c r="P176" s="4">
        <v>0.21709607074353901</v>
      </c>
    </row>
    <row r="177" spans="1:16">
      <c r="A177" s="4" t="s">
        <v>392</v>
      </c>
      <c r="B177" s="4" t="s">
        <v>30</v>
      </c>
      <c r="C177" s="4" t="s">
        <v>393</v>
      </c>
      <c r="D177" s="4" t="s">
        <v>32</v>
      </c>
      <c r="E177" s="4" t="s">
        <v>33</v>
      </c>
      <c r="F177" s="4" t="s">
        <v>34</v>
      </c>
      <c r="G177" s="4">
        <v>1</v>
      </c>
      <c r="H177" s="4">
        <v>380</v>
      </c>
      <c r="I177" s="4">
        <v>16006057</v>
      </c>
      <c r="J177" s="4">
        <v>48</v>
      </c>
      <c r="K177" s="4">
        <v>7.9166666666666696</v>
      </c>
      <c r="L177" s="4">
        <v>333459.52083333302</v>
      </c>
      <c r="M177" s="4">
        <v>42121.202631578999</v>
      </c>
      <c r="N177" s="4" t="s">
        <v>51</v>
      </c>
      <c r="O177" s="4">
        <v>0.36629121088347999</v>
      </c>
      <c r="P177" s="4">
        <v>0.226145640244683</v>
      </c>
    </row>
    <row r="178" spans="1:16">
      <c r="A178" s="4" t="s">
        <v>394</v>
      </c>
      <c r="B178" s="4" t="s">
        <v>30</v>
      </c>
      <c r="C178" s="4" t="s">
        <v>395</v>
      </c>
      <c r="D178" s="4" t="s">
        <v>41</v>
      </c>
      <c r="E178" s="4" t="s">
        <v>50</v>
      </c>
      <c r="F178" s="4" t="s">
        <v>34</v>
      </c>
      <c r="G178" s="4">
        <v>1</v>
      </c>
      <c r="H178" s="4">
        <v>396</v>
      </c>
      <c r="I178" s="4">
        <v>15993869</v>
      </c>
      <c r="J178" s="4">
        <v>48</v>
      </c>
      <c r="K178" s="4">
        <v>8.25</v>
      </c>
      <c r="L178" s="4">
        <v>333205.60416666698</v>
      </c>
      <c r="M178" s="4">
        <v>40388.558080808099</v>
      </c>
      <c r="N178" s="4" t="s">
        <v>68</v>
      </c>
      <c r="O178" s="4">
        <v>0.30597887227912102</v>
      </c>
      <c r="P178" s="4">
        <v>0.215299974447416</v>
      </c>
    </row>
    <row r="179" spans="1:16">
      <c r="A179" s="4" t="s">
        <v>396</v>
      </c>
      <c r="B179" s="4" t="s">
        <v>30</v>
      </c>
      <c r="C179" s="4" t="s">
        <v>397</v>
      </c>
      <c r="D179" s="4" t="s">
        <v>41</v>
      </c>
      <c r="E179" s="4" t="s">
        <v>50</v>
      </c>
      <c r="F179" s="4" t="s">
        <v>34</v>
      </c>
      <c r="G179" s="4">
        <v>1</v>
      </c>
      <c r="H179" s="4">
        <v>335</v>
      </c>
      <c r="I179" s="4">
        <v>15935851</v>
      </c>
      <c r="J179" s="4">
        <v>48</v>
      </c>
      <c r="K179" s="4">
        <v>6.9791666666666696</v>
      </c>
      <c r="L179" s="4">
        <v>331996.89583333302</v>
      </c>
      <c r="M179" s="4">
        <v>47569.7044776119</v>
      </c>
      <c r="N179" s="4" t="s">
        <v>54</v>
      </c>
      <c r="O179" s="4">
        <v>0.32069382425827198</v>
      </c>
      <c r="P179" s="4">
        <v>0.22434764825888201</v>
      </c>
    </row>
    <row r="180" spans="1:16">
      <c r="A180" s="4" t="s">
        <v>398</v>
      </c>
      <c r="B180" s="4" t="s">
        <v>30</v>
      </c>
      <c r="C180" s="4" t="s">
        <v>399</v>
      </c>
      <c r="D180" s="4" t="s">
        <v>32</v>
      </c>
      <c r="E180" s="4" t="s">
        <v>33</v>
      </c>
      <c r="F180" s="4" t="s">
        <v>34</v>
      </c>
      <c r="G180" s="4">
        <v>1</v>
      </c>
      <c r="H180" s="4">
        <v>387</v>
      </c>
      <c r="I180" s="4">
        <v>15920169</v>
      </c>
      <c r="J180" s="4">
        <v>48</v>
      </c>
      <c r="K180" s="4">
        <v>8.0625</v>
      </c>
      <c r="L180" s="4">
        <v>331670.1875</v>
      </c>
      <c r="M180" s="4">
        <v>41137.3875968992</v>
      </c>
      <c r="N180" s="4" t="s">
        <v>54</v>
      </c>
      <c r="O180" s="4">
        <v>0.22964768778522399</v>
      </c>
      <c r="P180" s="4">
        <v>0.18637126360029399</v>
      </c>
    </row>
    <row r="181" spans="1:16">
      <c r="A181" s="4" t="s">
        <v>400</v>
      </c>
      <c r="B181" s="4" t="s">
        <v>30</v>
      </c>
      <c r="C181" s="4" t="s">
        <v>401</v>
      </c>
      <c r="D181" s="4" t="s">
        <v>41</v>
      </c>
      <c r="E181" s="4" t="s">
        <v>42</v>
      </c>
      <c r="F181" s="4" t="s">
        <v>34</v>
      </c>
      <c r="G181" s="4">
        <v>1</v>
      </c>
      <c r="H181" s="4">
        <v>376</v>
      </c>
      <c r="I181" s="4">
        <v>15917456</v>
      </c>
      <c r="J181" s="4">
        <v>48</v>
      </c>
      <c r="K181" s="4">
        <v>7.8333333333333304</v>
      </c>
      <c r="L181" s="4">
        <v>331613.66666666698</v>
      </c>
      <c r="M181" s="4">
        <v>42333.659574468104</v>
      </c>
      <c r="N181" s="4" t="s">
        <v>35</v>
      </c>
      <c r="O181" s="4">
        <v>0.41627625670835799</v>
      </c>
      <c r="P181" s="4">
        <v>0.24870182351042999</v>
      </c>
    </row>
    <row r="182" spans="1:16">
      <c r="A182" s="4" t="s">
        <v>402</v>
      </c>
      <c r="B182" s="4" t="s">
        <v>30</v>
      </c>
      <c r="C182" s="4" t="s">
        <v>403</v>
      </c>
      <c r="D182" s="4" t="s">
        <v>32</v>
      </c>
      <c r="E182" s="4" t="s">
        <v>67</v>
      </c>
      <c r="F182" s="4" t="s">
        <v>34</v>
      </c>
      <c r="G182" s="4">
        <v>1</v>
      </c>
      <c r="H182" s="4">
        <v>425</v>
      </c>
      <c r="I182" s="4">
        <v>15911451</v>
      </c>
      <c r="J182" s="4">
        <v>48</v>
      </c>
      <c r="K182" s="4">
        <v>8.8541666666666696</v>
      </c>
      <c r="L182" s="4">
        <v>331488.5625</v>
      </c>
      <c r="M182" s="4">
        <v>37438.7082352941</v>
      </c>
      <c r="N182" s="4" t="s">
        <v>51</v>
      </c>
      <c r="O182" s="4">
        <v>0.23357806902714301</v>
      </c>
      <c r="P182" s="4">
        <v>0.17489236462647101</v>
      </c>
    </row>
    <row r="183" spans="1:16">
      <c r="A183" s="4" t="s">
        <v>404</v>
      </c>
      <c r="B183" s="4" t="s">
        <v>30</v>
      </c>
      <c r="C183" s="4" t="s">
        <v>405</v>
      </c>
      <c r="D183" s="4" t="s">
        <v>41</v>
      </c>
      <c r="E183" s="4" t="s">
        <v>42</v>
      </c>
      <c r="F183" s="4" t="s">
        <v>34</v>
      </c>
      <c r="G183" s="4">
        <v>1</v>
      </c>
      <c r="H183" s="4">
        <v>389</v>
      </c>
      <c r="I183" s="4">
        <v>15895407</v>
      </c>
      <c r="J183" s="4">
        <v>48</v>
      </c>
      <c r="K183" s="4">
        <v>8.1041666666666696</v>
      </c>
      <c r="L183" s="4">
        <v>331154.3125</v>
      </c>
      <c r="M183" s="4">
        <v>40862.228791773799</v>
      </c>
      <c r="N183" s="4" t="s">
        <v>54</v>
      </c>
      <c r="O183" s="4">
        <v>0.32003716545288802</v>
      </c>
      <c r="P183" s="4">
        <v>0.23602191921104601</v>
      </c>
    </row>
    <row r="184" spans="1:16">
      <c r="A184" s="4" t="s">
        <v>406</v>
      </c>
      <c r="B184" s="4" t="s">
        <v>30</v>
      </c>
      <c r="C184" s="4" t="s">
        <v>407</v>
      </c>
      <c r="D184" s="4" t="s">
        <v>32</v>
      </c>
      <c r="E184" s="4" t="s">
        <v>33</v>
      </c>
      <c r="F184" s="4" t="s">
        <v>34</v>
      </c>
      <c r="G184" s="4">
        <v>1</v>
      </c>
      <c r="H184" s="4">
        <v>379</v>
      </c>
      <c r="I184" s="4">
        <v>15833467</v>
      </c>
      <c r="J184" s="4">
        <v>48</v>
      </c>
      <c r="K184" s="4">
        <v>7.8958333333333304</v>
      </c>
      <c r="L184" s="4">
        <v>329863.89583333302</v>
      </c>
      <c r="M184" s="4">
        <v>41776.957783641199</v>
      </c>
      <c r="N184" s="4" t="s">
        <v>51</v>
      </c>
      <c r="O184" s="4">
        <v>0.261262678603492</v>
      </c>
      <c r="P184" s="4">
        <v>0.18041578135373701</v>
      </c>
    </row>
    <row r="185" spans="1:16">
      <c r="A185" s="4" t="s">
        <v>408</v>
      </c>
      <c r="B185" s="4" t="s">
        <v>30</v>
      </c>
      <c r="C185" s="4" t="s">
        <v>409</v>
      </c>
      <c r="D185" s="4" t="s">
        <v>41</v>
      </c>
      <c r="E185" s="4" t="s">
        <v>42</v>
      </c>
      <c r="F185" s="4" t="s">
        <v>34</v>
      </c>
      <c r="G185" s="4">
        <v>1</v>
      </c>
      <c r="H185" s="4">
        <v>352</v>
      </c>
      <c r="I185" s="4">
        <v>15827332</v>
      </c>
      <c r="J185" s="4">
        <v>48</v>
      </c>
      <c r="K185" s="4">
        <v>7.3333333333333304</v>
      </c>
      <c r="L185" s="4">
        <v>329736.08333333302</v>
      </c>
      <c r="M185" s="4">
        <v>44964.011363636397</v>
      </c>
      <c r="N185" s="4" t="s">
        <v>51</v>
      </c>
      <c r="O185" s="4">
        <v>0.229842401738967</v>
      </c>
      <c r="P185" s="4">
        <v>0.18470048354632301</v>
      </c>
    </row>
    <row r="186" spans="1:16">
      <c r="A186" s="4" t="s">
        <v>410</v>
      </c>
      <c r="B186" s="4" t="s">
        <v>30</v>
      </c>
      <c r="C186" s="4" t="s">
        <v>411</v>
      </c>
      <c r="D186" s="4" t="s">
        <v>32</v>
      </c>
      <c r="E186" s="4" t="s">
        <v>67</v>
      </c>
      <c r="F186" s="4" t="s">
        <v>34</v>
      </c>
      <c r="G186" s="4">
        <v>1</v>
      </c>
      <c r="H186" s="4">
        <v>382</v>
      </c>
      <c r="I186" s="4">
        <v>15793125</v>
      </c>
      <c r="J186" s="4">
        <v>48</v>
      </c>
      <c r="K186" s="4">
        <v>7.9583333333333304</v>
      </c>
      <c r="L186" s="4">
        <v>329023.4375</v>
      </c>
      <c r="M186" s="4">
        <v>41343.259162303701</v>
      </c>
      <c r="N186" s="4" t="s">
        <v>51</v>
      </c>
      <c r="O186" s="4">
        <v>0.25523219755431598</v>
      </c>
      <c r="P186" s="4">
        <v>0.19280473471401</v>
      </c>
    </row>
    <row r="187" spans="1:16">
      <c r="A187" s="4" t="s">
        <v>412</v>
      </c>
      <c r="B187" s="4" t="s">
        <v>30</v>
      </c>
      <c r="C187" s="4" t="s">
        <v>413</v>
      </c>
      <c r="D187" s="4" t="s">
        <v>32</v>
      </c>
      <c r="E187" s="4" t="s">
        <v>67</v>
      </c>
      <c r="F187" s="4" t="s">
        <v>34</v>
      </c>
      <c r="G187" s="4">
        <v>1</v>
      </c>
      <c r="H187" s="4">
        <v>385</v>
      </c>
      <c r="I187" s="4">
        <v>15772110</v>
      </c>
      <c r="J187" s="4">
        <v>48</v>
      </c>
      <c r="K187" s="4">
        <v>8.0208333333333304</v>
      </c>
      <c r="L187" s="4">
        <v>328585.625</v>
      </c>
      <c r="M187" s="4">
        <v>40966.519480519499</v>
      </c>
      <c r="N187" s="4" t="s">
        <v>54</v>
      </c>
      <c r="O187" s="4">
        <v>0.236740677055892</v>
      </c>
      <c r="P187" s="4">
        <v>0.179070423989315</v>
      </c>
    </row>
    <row r="188" spans="1:16">
      <c r="A188" s="4" t="s">
        <v>414</v>
      </c>
      <c r="B188" s="4" t="s">
        <v>30</v>
      </c>
      <c r="C188" s="4" t="s">
        <v>415</v>
      </c>
      <c r="D188" s="4" t="s">
        <v>32</v>
      </c>
      <c r="E188" s="4" t="s">
        <v>67</v>
      </c>
      <c r="F188" s="4" t="s">
        <v>34</v>
      </c>
      <c r="G188" s="4">
        <v>1</v>
      </c>
      <c r="H188" s="4">
        <v>354</v>
      </c>
      <c r="I188" s="4">
        <v>15762953</v>
      </c>
      <c r="J188" s="4">
        <v>48</v>
      </c>
      <c r="K188" s="4">
        <v>7.375</v>
      </c>
      <c r="L188" s="4">
        <v>328394.85416666698</v>
      </c>
      <c r="M188" s="4">
        <v>44528.115819209001</v>
      </c>
      <c r="N188" s="4" t="s">
        <v>47</v>
      </c>
      <c r="O188" s="4">
        <v>0.33960153278386401</v>
      </c>
      <c r="P188" s="4">
        <v>0.22386507794556099</v>
      </c>
    </row>
    <row r="189" spans="1:16">
      <c r="A189" s="4" t="s">
        <v>416</v>
      </c>
      <c r="B189" s="4" t="s">
        <v>30</v>
      </c>
      <c r="C189" s="4" t="s">
        <v>417</v>
      </c>
      <c r="D189" s="4" t="s">
        <v>41</v>
      </c>
      <c r="E189" s="4" t="s">
        <v>42</v>
      </c>
      <c r="F189" s="4" t="s">
        <v>34</v>
      </c>
      <c r="G189" s="4">
        <v>1</v>
      </c>
      <c r="H189" s="4">
        <v>391</v>
      </c>
      <c r="I189" s="4">
        <v>15752854</v>
      </c>
      <c r="J189" s="4">
        <v>48</v>
      </c>
      <c r="K189" s="4">
        <v>8.1458333333333304</v>
      </c>
      <c r="L189" s="4">
        <v>328184.45833333302</v>
      </c>
      <c r="M189" s="4">
        <v>40288.629156010204</v>
      </c>
      <c r="N189" s="4" t="s">
        <v>51</v>
      </c>
      <c r="O189" s="4">
        <v>0.31478670468221198</v>
      </c>
      <c r="P189" s="4">
        <v>0.20274602488094201</v>
      </c>
    </row>
    <row r="190" spans="1:16">
      <c r="A190" s="4" t="s">
        <v>418</v>
      </c>
      <c r="B190" s="4" t="s">
        <v>30</v>
      </c>
      <c r="C190" s="4" t="s">
        <v>419</v>
      </c>
      <c r="D190" s="4" t="s">
        <v>32</v>
      </c>
      <c r="E190" s="4" t="s">
        <v>67</v>
      </c>
      <c r="F190" s="4" t="s">
        <v>34</v>
      </c>
      <c r="G190" s="4">
        <v>1</v>
      </c>
      <c r="H190" s="4">
        <v>374</v>
      </c>
      <c r="I190" s="4">
        <v>15751199</v>
      </c>
      <c r="J190" s="4">
        <v>48</v>
      </c>
      <c r="K190" s="4">
        <v>7.7916666666666696</v>
      </c>
      <c r="L190" s="4">
        <v>328149.97916666698</v>
      </c>
      <c r="M190" s="4">
        <v>42115.5053475936</v>
      </c>
      <c r="N190" s="4" t="s">
        <v>51</v>
      </c>
      <c r="O190" s="4">
        <v>0.54984233263766202</v>
      </c>
      <c r="P190" s="4">
        <v>0.348745970223105</v>
      </c>
    </row>
    <row r="191" spans="1:16">
      <c r="A191" s="4" t="s">
        <v>420</v>
      </c>
      <c r="B191" s="4" t="s">
        <v>30</v>
      </c>
      <c r="C191" s="4" t="s">
        <v>421</v>
      </c>
      <c r="D191" s="4" t="s">
        <v>41</v>
      </c>
      <c r="E191" s="4" t="s">
        <v>42</v>
      </c>
      <c r="F191" s="4" t="s">
        <v>34</v>
      </c>
      <c r="G191" s="4">
        <v>1</v>
      </c>
      <c r="H191" s="4">
        <v>381</v>
      </c>
      <c r="I191" s="4">
        <v>15742177</v>
      </c>
      <c r="J191" s="4">
        <v>48</v>
      </c>
      <c r="K191" s="4">
        <v>7.9375</v>
      </c>
      <c r="L191" s="4">
        <v>327962.02083333302</v>
      </c>
      <c r="M191" s="4">
        <v>41318.0498687664</v>
      </c>
      <c r="N191" s="4" t="s">
        <v>51</v>
      </c>
      <c r="O191" s="4">
        <v>0.29814497702573201</v>
      </c>
      <c r="P191" s="4">
        <v>0.20394124118995599</v>
      </c>
    </row>
    <row r="192" spans="1:16">
      <c r="A192" s="4" t="s">
        <v>422</v>
      </c>
      <c r="B192" s="4" t="s">
        <v>30</v>
      </c>
      <c r="C192" s="4" t="s">
        <v>423</v>
      </c>
      <c r="D192" s="4" t="s">
        <v>32</v>
      </c>
      <c r="E192" s="4" t="s">
        <v>67</v>
      </c>
      <c r="F192" s="4" t="s">
        <v>34</v>
      </c>
      <c r="G192" s="4">
        <v>1</v>
      </c>
      <c r="H192" s="4">
        <v>408</v>
      </c>
      <c r="I192" s="4">
        <v>15682041</v>
      </c>
      <c r="J192" s="4">
        <v>48</v>
      </c>
      <c r="K192" s="4">
        <v>8.5</v>
      </c>
      <c r="L192" s="4">
        <v>326709.1875</v>
      </c>
      <c r="M192" s="4">
        <v>38436.375</v>
      </c>
      <c r="N192" s="4" t="s">
        <v>47</v>
      </c>
      <c r="O192" s="4">
        <v>0.24370380105497699</v>
      </c>
      <c r="P192" s="4">
        <v>0.18870119375938099</v>
      </c>
    </row>
    <row r="193" spans="1:16">
      <c r="A193" s="4" t="s">
        <v>424</v>
      </c>
      <c r="B193" s="4" t="s">
        <v>30</v>
      </c>
      <c r="C193" s="4" t="s">
        <v>425</v>
      </c>
      <c r="D193" s="4" t="s">
        <v>41</v>
      </c>
      <c r="E193" s="4" t="s">
        <v>42</v>
      </c>
      <c r="F193" s="4" t="s">
        <v>34</v>
      </c>
      <c r="G193" s="4">
        <v>1</v>
      </c>
      <c r="H193" s="4">
        <v>390</v>
      </c>
      <c r="I193" s="4">
        <v>15665366</v>
      </c>
      <c r="J193" s="4">
        <v>48</v>
      </c>
      <c r="K193" s="4">
        <v>8.125</v>
      </c>
      <c r="L193" s="4">
        <v>326361.79166666698</v>
      </c>
      <c r="M193" s="4">
        <v>40167.605128205098</v>
      </c>
      <c r="N193" s="4" t="s">
        <v>54</v>
      </c>
      <c r="O193" s="4">
        <v>0.38421502568149402</v>
      </c>
      <c r="P193" s="4">
        <v>0.23471423333549399</v>
      </c>
    </row>
    <row r="194" spans="1:16">
      <c r="A194" s="4" t="s">
        <v>426</v>
      </c>
      <c r="B194" s="4" t="s">
        <v>30</v>
      </c>
      <c r="C194" s="4" t="s">
        <v>427</v>
      </c>
      <c r="D194" s="4" t="s">
        <v>32</v>
      </c>
      <c r="E194" s="4" t="s">
        <v>67</v>
      </c>
      <c r="F194" s="4" t="s">
        <v>34</v>
      </c>
      <c r="G194" s="4">
        <v>1</v>
      </c>
      <c r="H194" s="4">
        <v>384</v>
      </c>
      <c r="I194" s="4">
        <v>15652843</v>
      </c>
      <c r="J194" s="4">
        <v>48</v>
      </c>
      <c r="K194" s="4">
        <v>8</v>
      </c>
      <c r="L194" s="4">
        <v>326100.89583333302</v>
      </c>
      <c r="M194" s="4">
        <v>40762.611979166701</v>
      </c>
      <c r="N194" s="4" t="s">
        <v>51</v>
      </c>
      <c r="O194" s="4">
        <v>0.30129849254860602</v>
      </c>
      <c r="P194" s="4">
        <v>0.19320213953816101</v>
      </c>
    </row>
    <row r="195" spans="1:16">
      <c r="A195" s="4" t="s">
        <v>428</v>
      </c>
      <c r="B195" s="4" t="s">
        <v>30</v>
      </c>
      <c r="C195" s="4" t="s">
        <v>429</v>
      </c>
      <c r="D195" s="4" t="s">
        <v>32</v>
      </c>
      <c r="E195" s="4" t="s">
        <v>67</v>
      </c>
      <c r="F195" s="4" t="s">
        <v>34</v>
      </c>
      <c r="G195" s="4">
        <v>1</v>
      </c>
      <c r="H195" s="4">
        <v>380</v>
      </c>
      <c r="I195" s="4">
        <v>15651019</v>
      </c>
      <c r="J195" s="4">
        <v>48</v>
      </c>
      <c r="K195" s="4">
        <v>7.9166666666666696</v>
      </c>
      <c r="L195" s="4">
        <v>326062.89583333302</v>
      </c>
      <c r="M195" s="4">
        <v>41186.892105263199</v>
      </c>
      <c r="N195" s="4" t="s">
        <v>54</v>
      </c>
      <c r="O195" s="4">
        <v>0.39125101055720402</v>
      </c>
      <c r="P195" s="4">
        <v>0.23948692486468401</v>
      </c>
    </row>
    <row r="196" spans="1:16">
      <c r="A196" s="4" t="s">
        <v>430</v>
      </c>
      <c r="B196" s="4" t="s">
        <v>30</v>
      </c>
      <c r="C196" s="4" t="s">
        <v>431</v>
      </c>
      <c r="D196" s="4" t="s">
        <v>32</v>
      </c>
      <c r="E196" s="4" t="s">
        <v>33</v>
      </c>
      <c r="F196" s="4" t="s">
        <v>34</v>
      </c>
      <c r="G196" s="4">
        <v>1</v>
      </c>
      <c r="H196" s="4">
        <v>407</v>
      </c>
      <c r="I196" s="4">
        <v>15635527</v>
      </c>
      <c r="J196" s="4">
        <v>48</v>
      </c>
      <c r="K196" s="4">
        <v>8.4791666666666696</v>
      </c>
      <c r="L196" s="4">
        <v>325740.14583333302</v>
      </c>
      <c r="M196" s="4">
        <v>38416.528255528297</v>
      </c>
      <c r="N196" s="4" t="s">
        <v>35</v>
      </c>
      <c r="O196" s="4">
        <v>0.27178796084071899</v>
      </c>
      <c r="P196" s="4">
        <v>0.20124642894577899</v>
      </c>
    </row>
    <row r="197" spans="1:16">
      <c r="A197" s="4" t="s">
        <v>432</v>
      </c>
      <c r="B197" s="4" t="s">
        <v>30</v>
      </c>
      <c r="C197" s="4" t="s">
        <v>433</v>
      </c>
      <c r="D197" s="4" t="s">
        <v>32</v>
      </c>
      <c r="E197" s="4" t="s">
        <v>33</v>
      </c>
      <c r="F197" s="4" t="s">
        <v>34</v>
      </c>
      <c r="G197" s="4">
        <v>1</v>
      </c>
      <c r="H197" s="4">
        <v>400</v>
      </c>
      <c r="I197" s="4">
        <v>15624628</v>
      </c>
      <c r="J197" s="4">
        <v>48</v>
      </c>
      <c r="K197" s="4">
        <v>8.3333333333333304</v>
      </c>
      <c r="L197" s="4">
        <v>325513.08333333302</v>
      </c>
      <c r="M197" s="4">
        <v>39061.57</v>
      </c>
      <c r="N197" s="4" t="s">
        <v>35</v>
      </c>
      <c r="O197" s="4">
        <v>0.29034380850539299</v>
      </c>
      <c r="P197" s="4">
        <v>0.19344880941846199</v>
      </c>
    </row>
    <row r="198" spans="1:16">
      <c r="A198" s="4" t="s">
        <v>434</v>
      </c>
      <c r="B198" s="4" t="s">
        <v>30</v>
      </c>
      <c r="C198" s="4" t="s">
        <v>435</v>
      </c>
      <c r="D198" s="4" t="s">
        <v>32</v>
      </c>
      <c r="E198" s="4" t="s">
        <v>33</v>
      </c>
      <c r="F198" s="4" t="s">
        <v>34</v>
      </c>
      <c r="G198" s="4">
        <v>1</v>
      </c>
      <c r="H198" s="4">
        <v>342</v>
      </c>
      <c r="I198" s="4">
        <v>15615225</v>
      </c>
      <c r="J198" s="4">
        <v>48</v>
      </c>
      <c r="K198" s="4">
        <v>7.125</v>
      </c>
      <c r="L198" s="4">
        <v>325317.1875</v>
      </c>
      <c r="M198" s="4">
        <v>45658.552631578998</v>
      </c>
      <c r="N198" s="4" t="s">
        <v>54</v>
      </c>
      <c r="O198" s="4">
        <v>0.26555192128195398</v>
      </c>
      <c r="P198" s="4">
        <v>0.19467436637506499</v>
      </c>
    </row>
    <row r="199" spans="1:16">
      <c r="A199" s="4" t="s">
        <v>436</v>
      </c>
      <c r="B199" s="4" t="s">
        <v>30</v>
      </c>
      <c r="C199" s="4" t="s">
        <v>437</v>
      </c>
      <c r="D199" s="4" t="s">
        <v>41</v>
      </c>
      <c r="E199" s="4" t="s">
        <v>50</v>
      </c>
      <c r="F199" s="4" t="s">
        <v>34</v>
      </c>
      <c r="G199" s="4">
        <v>1</v>
      </c>
      <c r="H199" s="4">
        <v>362</v>
      </c>
      <c r="I199" s="4">
        <v>15585678</v>
      </c>
      <c r="J199" s="4">
        <v>48</v>
      </c>
      <c r="K199" s="4">
        <v>7.5416666666666696</v>
      </c>
      <c r="L199" s="4">
        <v>324701.625</v>
      </c>
      <c r="M199" s="4">
        <v>43054.359116022097</v>
      </c>
      <c r="N199" s="4" t="s">
        <v>54</v>
      </c>
      <c r="O199" s="4">
        <v>0.30850951751986699</v>
      </c>
      <c r="P199" s="4">
        <v>0.205961531996733</v>
      </c>
    </row>
    <row r="200" spans="1:16">
      <c r="A200" s="4" t="s">
        <v>438</v>
      </c>
      <c r="B200" s="4" t="s">
        <v>30</v>
      </c>
      <c r="C200" s="4" t="s">
        <v>439</v>
      </c>
      <c r="D200" s="4" t="s">
        <v>41</v>
      </c>
      <c r="E200" s="4" t="s">
        <v>42</v>
      </c>
      <c r="F200" s="4" t="s">
        <v>34</v>
      </c>
      <c r="G200" s="4">
        <v>1</v>
      </c>
      <c r="H200" s="4">
        <v>337</v>
      </c>
      <c r="I200" s="4">
        <v>15567095</v>
      </c>
      <c r="J200" s="4">
        <v>48</v>
      </c>
      <c r="K200" s="4">
        <v>7.0208333333333304</v>
      </c>
      <c r="L200" s="4">
        <v>324314.47916666698</v>
      </c>
      <c r="M200" s="4">
        <v>46193.1602373887</v>
      </c>
      <c r="N200" s="4" t="s">
        <v>68</v>
      </c>
      <c r="O200" s="4">
        <v>0.26752615051170398</v>
      </c>
      <c r="P200" s="4">
        <v>0.18536713157100301</v>
      </c>
    </row>
    <row r="201" spans="1:16">
      <c r="A201" s="4" t="s">
        <v>440</v>
      </c>
      <c r="B201" s="4" t="s">
        <v>30</v>
      </c>
      <c r="C201" s="4" t="s">
        <v>441</v>
      </c>
      <c r="D201" s="4" t="s">
        <v>32</v>
      </c>
      <c r="E201" s="4" t="s">
        <v>33</v>
      </c>
      <c r="F201" s="4" t="s">
        <v>34</v>
      </c>
      <c r="G201" s="4">
        <v>1</v>
      </c>
      <c r="H201" s="4">
        <v>380</v>
      </c>
      <c r="I201" s="4">
        <v>15562126</v>
      </c>
      <c r="J201" s="4">
        <v>48</v>
      </c>
      <c r="K201" s="4">
        <v>7.9166666666666696</v>
      </c>
      <c r="L201" s="4">
        <v>324210.95833333302</v>
      </c>
      <c r="M201" s="4">
        <v>40952.963157894701</v>
      </c>
      <c r="N201" s="4" t="s">
        <v>54</v>
      </c>
      <c r="O201" s="4">
        <v>0.22403584188946901</v>
      </c>
      <c r="P201" s="4">
        <v>0.178768213090852</v>
      </c>
    </row>
    <row r="202" spans="1:16">
      <c r="A202" s="4" t="s">
        <v>442</v>
      </c>
      <c r="B202" s="4" t="s">
        <v>30</v>
      </c>
      <c r="C202" s="4" t="s">
        <v>443</v>
      </c>
      <c r="D202" s="4" t="s">
        <v>32</v>
      </c>
      <c r="E202" s="4" t="s">
        <v>67</v>
      </c>
      <c r="F202" s="4" t="s">
        <v>34</v>
      </c>
      <c r="G202" s="4">
        <v>1</v>
      </c>
      <c r="H202" s="4">
        <v>392</v>
      </c>
      <c r="I202" s="4">
        <v>15516544</v>
      </c>
      <c r="J202" s="4">
        <v>48</v>
      </c>
      <c r="K202" s="4">
        <v>8.1666666666666696</v>
      </c>
      <c r="L202" s="4">
        <v>323261.33333333302</v>
      </c>
      <c r="M202" s="4">
        <v>39583.020408163298</v>
      </c>
      <c r="N202" s="4" t="s">
        <v>51</v>
      </c>
      <c r="O202" s="4">
        <v>0.25045370927959199</v>
      </c>
      <c r="P202" s="4">
        <v>0.192141199795486</v>
      </c>
    </row>
    <row r="203" spans="1:16">
      <c r="A203" s="4" t="s">
        <v>444</v>
      </c>
      <c r="B203" s="4" t="s">
        <v>30</v>
      </c>
      <c r="C203" s="4" t="s">
        <v>445</v>
      </c>
      <c r="D203" s="4" t="s">
        <v>32</v>
      </c>
      <c r="E203" s="4" t="s">
        <v>33</v>
      </c>
      <c r="F203" s="4" t="s">
        <v>34</v>
      </c>
      <c r="G203" s="4">
        <v>1</v>
      </c>
      <c r="H203" s="4">
        <v>395</v>
      </c>
      <c r="I203" s="4">
        <v>15513302</v>
      </c>
      <c r="J203" s="4">
        <v>48</v>
      </c>
      <c r="K203" s="4">
        <v>8.2291666666666696</v>
      </c>
      <c r="L203" s="4">
        <v>323193.79166666698</v>
      </c>
      <c r="M203" s="4">
        <v>39274.182278480999</v>
      </c>
      <c r="N203" s="4" t="s">
        <v>35</v>
      </c>
      <c r="O203" s="4">
        <v>0.35753697053019401</v>
      </c>
      <c r="P203" s="4">
        <v>0.22322668882806199</v>
      </c>
    </row>
    <row r="204" spans="1:16">
      <c r="A204" s="4" t="s">
        <v>446</v>
      </c>
      <c r="B204" s="4" t="s">
        <v>30</v>
      </c>
      <c r="C204" s="4" t="s">
        <v>447</v>
      </c>
      <c r="D204" s="4" t="s">
        <v>32</v>
      </c>
      <c r="E204" s="4" t="s">
        <v>33</v>
      </c>
      <c r="F204" s="4" t="s">
        <v>34</v>
      </c>
      <c r="G204" s="4">
        <v>1</v>
      </c>
      <c r="H204" s="4">
        <v>373</v>
      </c>
      <c r="I204" s="4">
        <v>15510941</v>
      </c>
      <c r="J204" s="4">
        <v>48</v>
      </c>
      <c r="K204" s="4">
        <v>7.7708333333333304</v>
      </c>
      <c r="L204" s="4">
        <v>323144.60416666698</v>
      </c>
      <c r="M204" s="4">
        <v>41584.292225201098</v>
      </c>
      <c r="N204" s="4" t="s">
        <v>68</v>
      </c>
      <c r="O204" s="4">
        <v>0.30192230116793001</v>
      </c>
      <c r="P204" s="4">
        <v>0.205317233802077</v>
      </c>
    </row>
    <row r="205" spans="1:16">
      <c r="A205" s="4" t="s">
        <v>448</v>
      </c>
      <c r="B205" s="4" t="s">
        <v>30</v>
      </c>
      <c r="C205" s="4" t="s">
        <v>449</v>
      </c>
      <c r="D205" s="4" t="s">
        <v>41</v>
      </c>
      <c r="E205" s="4" t="s">
        <v>50</v>
      </c>
      <c r="F205" s="4" t="s">
        <v>34</v>
      </c>
      <c r="G205" s="4">
        <v>1</v>
      </c>
      <c r="H205" s="4">
        <v>361</v>
      </c>
      <c r="I205" s="4">
        <v>15502581</v>
      </c>
      <c r="J205" s="4">
        <v>48</v>
      </c>
      <c r="K205" s="4">
        <v>7.5208333333333304</v>
      </c>
      <c r="L205" s="4">
        <v>322970.4375</v>
      </c>
      <c r="M205" s="4">
        <v>42943.437673130204</v>
      </c>
      <c r="N205" s="4" t="s">
        <v>35</v>
      </c>
      <c r="O205" s="4">
        <v>0.26845703950845301</v>
      </c>
      <c r="P205" s="4">
        <v>0.20754599459508499</v>
      </c>
    </row>
    <row r="206" spans="1:16">
      <c r="A206" s="4" t="s">
        <v>450</v>
      </c>
      <c r="B206" s="4" t="s">
        <v>30</v>
      </c>
      <c r="C206" s="4" t="s">
        <v>451</v>
      </c>
      <c r="D206" s="4" t="s">
        <v>32</v>
      </c>
      <c r="E206" s="4" t="s">
        <v>67</v>
      </c>
      <c r="F206" s="4" t="s">
        <v>34</v>
      </c>
      <c r="G206" s="4">
        <v>1</v>
      </c>
      <c r="H206" s="4">
        <v>382</v>
      </c>
      <c r="I206" s="4">
        <v>15476722</v>
      </c>
      <c r="J206" s="4">
        <v>48</v>
      </c>
      <c r="K206" s="4">
        <v>7.9583333333333304</v>
      </c>
      <c r="L206" s="4">
        <v>322431.70833333302</v>
      </c>
      <c r="M206" s="4">
        <v>40514.979057591598</v>
      </c>
      <c r="N206" s="4" t="s">
        <v>68</v>
      </c>
      <c r="O206" s="4">
        <v>0.19444808790905499</v>
      </c>
      <c r="P206" s="4">
        <v>0.17013603907790301</v>
      </c>
    </row>
    <row r="207" spans="1:16">
      <c r="A207" s="4" t="s">
        <v>452</v>
      </c>
      <c r="B207" s="4" t="s">
        <v>30</v>
      </c>
      <c r="C207" s="4" t="s">
        <v>453</v>
      </c>
      <c r="D207" s="4" t="s">
        <v>32</v>
      </c>
      <c r="E207" s="4" t="s">
        <v>33</v>
      </c>
      <c r="F207" s="4" t="s">
        <v>34</v>
      </c>
      <c r="G207" s="4">
        <v>1</v>
      </c>
      <c r="H207" s="4">
        <v>404</v>
      </c>
      <c r="I207" s="4">
        <v>15471141</v>
      </c>
      <c r="J207" s="4">
        <v>48</v>
      </c>
      <c r="K207" s="4">
        <v>8.4166666666666696</v>
      </c>
      <c r="L207" s="4">
        <v>322315.4375</v>
      </c>
      <c r="M207" s="4">
        <v>38294.903465346499</v>
      </c>
      <c r="N207" s="4" t="s">
        <v>35</v>
      </c>
      <c r="O207" s="4">
        <v>0.24620149218470699</v>
      </c>
      <c r="P207" s="4">
        <v>0.186409523181057</v>
      </c>
    </row>
    <row r="208" spans="1:16">
      <c r="A208" s="4" t="s">
        <v>454</v>
      </c>
      <c r="B208" s="4" t="s">
        <v>30</v>
      </c>
      <c r="C208" s="4" t="s">
        <v>455</v>
      </c>
      <c r="D208" s="4" t="s">
        <v>32</v>
      </c>
      <c r="E208" s="4" t="s">
        <v>67</v>
      </c>
      <c r="F208" s="4" t="s">
        <v>34</v>
      </c>
      <c r="G208" s="4">
        <v>1</v>
      </c>
      <c r="H208" s="4">
        <v>374</v>
      </c>
      <c r="I208" s="4">
        <v>15429328</v>
      </c>
      <c r="J208" s="4">
        <v>48</v>
      </c>
      <c r="K208" s="4">
        <v>7.7916666666666696</v>
      </c>
      <c r="L208" s="4">
        <v>321444.33333333302</v>
      </c>
      <c r="M208" s="4">
        <v>41254.887700534797</v>
      </c>
      <c r="N208" s="4" t="s">
        <v>47</v>
      </c>
      <c r="O208" s="4">
        <v>0.224886074105107</v>
      </c>
      <c r="P208" s="4">
        <v>0.17759843675645501</v>
      </c>
    </row>
    <row r="209" spans="1:16">
      <c r="A209" s="4" t="s">
        <v>456</v>
      </c>
      <c r="B209" s="4" t="s">
        <v>30</v>
      </c>
      <c r="C209" s="4" t="s">
        <v>457</v>
      </c>
      <c r="D209" s="4" t="s">
        <v>41</v>
      </c>
      <c r="E209" s="4" t="s">
        <v>50</v>
      </c>
      <c r="F209" s="4" t="s">
        <v>34</v>
      </c>
      <c r="G209" s="4">
        <v>1</v>
      </c>
      <c r="H209" s="4">
        <v>390</v>
      </c>
      <c r="I209" s="4">
        <v>15396422</v>
      </c>
      <c r="J209" s="4">
        <v>48</v>
      </c>
      <c r="K209" s="4">
        <v>8.125</v>
      </c>
      <c r="L209" s="4">
        <v>320758.79166666698</v>
      </c>
      <c r="M209" s="4">
        <v>39478.005128205099</v>
      </c>
      <c r="N209" s="4" t="s">
        <v>54</v>
      </c>
      <c r="O209" s="4">
        <v>0.220791363084228</v>
      </c>
      <c r="P209" s="4">
        <v>0.17696004332384499</v>
      </c>
    </row>
    <row r="210" spans="1:16">
      <c r="A210" s="4" t="s">
        <v>458</v>
      </c>
      <c r="B210" s="4" t="s">
        <v>30</v>
      </c>
      <c r="C210" s="4" t="s">
        <v>459</v>
      </c>
      <c r="D210" s="4" t="s">
        <v>32</v>
      </c>
      <c r="E210" s="4" t="s">
        <v>67</v>
      </c>
      <c r="F210" s="4" t="s">
        <v>34</v>
      </c>
      <c r="G210" s="4">
        <v>1</v>
      </c>
      <c r="H210" s="4">
        <v>410</v>
      </c>
      <c r="I210" s="4">
        <v>15353117</v>
      </c>
      <c r="J210" s="4">
        <v>48</v>
      </c>
      <c r="K210" s="4">
        <v>8.5416666666666696</v>
      </c>
      <c r="L210" s="4">
        <v>319856.60416666698</v>
      </c>
      <c r="M210" s="4">
        <v>37446.626829268302</v>
      </c>
      <c r="N210" s="4" t="s">
        <v>51</v>
      </c>
      <c r="O210" s="4">
        <v>0.23752310361472501</v>
      </c>
      <c r="P210" s="4">
        <v>0.19408130242604099</v>
      </c>
    </row>
    <row r="211" spans="1:16">
      <c r="A211" s="4" t="s">
        <v>460</v>
      </c>
      <c r="B211" s="4" t="s">
        <v>30</v>
      </c>
      <c r="C211" s="4" t="s">
        <v>461</v>
      </c>
      <c r="D211" s="4" t="s">
        <v>32</v>
      </c>
      <c r="E211" s="4" t="s">
        <v>33</v>
      </c>
      <c r="F211" s="4" t="s">
        <v>34</v>
      </c>
      <c r="G211" s="4">
        <v>1</v>
      </c>
      <c r="H211" s="4">
        <v>418</v>
      </c>
      <c r="I211" s="4">
        <v>15316826</v>
      </c>
      <c r="J211" s="4">
        <v>47</v>
      </c>
      <c r="K211" s="4">
        <v>8.8936170212766008</v>
      </c>
      <c r="L211" s="4">
        <v>325889.91489361698</v>
      </c>
      <c r="M211" s="4">
        <v>36643.124401913898</v>
      </c>
      <c r="N211" s="4" t="s">
        <v>35</v>
      </c>
      <c r="O211" s="4">
        <v>0.26220843665652399</v>
      </c>
      <c r="P211" s="4">
        <v>0.18711275603904601</v>
      </c>
    </row>
    <row r="212" spans="1:16">
      <c r="A212" s="4" t="s">
        <v>462</v>
      </c>
      <c r="B212" s="4" t="s">
        <v>30</v>
      </c>
      <c r="C212" s="4" t="s">
        <v>463</v>
      </c>
      <c r="D212" s="4" t="s">
        <v>32</v>
      </c>
      <c r="E212" s="4" t="s">
        <v>33</v>
      </c>
      <c r="F212" s="4" t="s">
        <v>34</v>
      </c>
      <c r="G212" s="4">
        <v>1</v>
      </c>
      <c r="H212" s="4">
        <v>408</v>
      </c>
      <c r="I212" s="4">
        <v>15306351</v>
      </c>
      <c r="J212" s="4">
        <v>48</v>
      </c>
      <c r="K212" s="4">
        <v>8.5</v>
      </c>
      <c r="L212" s="4">
        <v>318882.3125</v>
      </c>
      <c r="M212" s="4">
        <v>37515.566176470602</v>
      </c>
      <c r="N212" s="4" t="s">
        <v>35</v>
      </c>
      <c r="O212" s="4">
        <v>0.23527991746693899</v>
      </c>
      <c r="P212" s="4">
        <v>0.18343898746470699</v>
      </c>
    </row>
    <row r="213" spans="1:16">
      <c r="A213" s="4" t="s">
        <v>464</v>
      </c>
      <c r="B213" s="4" t="s">
        <v>30</v>
      </c>
      <c r="C213" s="4" t="s">
        <v>465</v>
      </c>
      <c r="D213" s="4" t="s">
        <v>41</v>
      </c>
      <c r="E213" s="4" t="s">
        <v>42</v>
      </c>
      <c r="F213" s="4" t="s">
        <v>34</v>
      </c>
      <c r="G213" s="4">
        <v>1</v>
      </c>
      <c r="H213" s="4">
        <v>394</v>
      </c>
      <c r="I213" s="4">
        <v>15306204</v>
      </c>
      <c r="J213" s="4">
        <v>48</v>
      </c>
      <c r="K213" s="4">
        <v>8.2083333333333304</v>
      </c>
      <c r="L213" s="4">
        <v>318879.25</v>
      </c>
      <c r="M213" s="4">
        <v>38848.233502538103</v>
      </c>
      <c r="N213" s="4" t="s">
        <v>54</v>
      </c>
      <c r="O213" s="4">
        <v>0.418889164158533</v>
      </c>
      <c r="P213" s="4">
        <v>0.25139902566531702</v>
      </c>
    </row>
    <row r="214" spans="1:16">
      <c r="A214" s="4" t="s">
        <v>466</v>
      </c>
      <c r="B214" s="4" t="s">
        <v>30</v>
      </c>
      <c r="C214" s="4" t="s">
        <v>467</v>
      </c>
      <c r="D214" s="4" t="s">
        <v>41</v>
      </c>
      <c r="E214" s="4" t="s">
        <v>50</v>
      </c>
      <c r="F214" s="4" t="s">
        <v>34</v>
      </c>
      <c r="G214" s="4">
        <v>1</v>
      </c>
      <c r="H214" s="4">
        <v>407</v>
      </c>
      <c r="I214" s="4">
        <v>15286470</v>
      </c>
      <c r="J214" s="4">
        <v>48</v>
      </c>
      <c r="K214" s="4">
        <v>8.4791666666666696</v>
      </c>
      <c r="L214" s="4">
        <v>318468.125</v>
      </c>
      <c r="M214" s="4">
        <v>37558.894348894399</v>
      </c>
      <c r="N214" s="4" t="s">
        <v>51</v>
      </c>
      <c r="O214" s="4">
        <v>0.22736341352843401</v>
      </c>
      <c r="P214" s="4">
        <v>0.189986926892564</v>
      </c>
    </row>
    <row r="215" spans="1:16">
      <c r="A215" s="4" t="s">
        <v>468</v>
      </c>
      <c r="B215" s="4" t="s">
        <v>30</v>
      </c>
      <c r="C215" s="4" t="s">
        <v>469</v>
      </c>
      <c r="D215" s="4" t="s">
        <v>32</v>
      </c>
      <c r="E215" s="4" t="s">
        <v>67</v>
      </c>
      <c r="F215" s="4" t="s">
        <v>34</v>
      </c>
      <c r="G215" s="4">
        <v>1</v>
      </c>
      <c r="H215" s="4">
        <v>376</v>
      </c>
      <c r="I215" s="4">
        <v>15249768</v>
      </c>
      <c r="J215" s="4">
        <v>48</v>
      </c>
      <c r="K215" s="4">
        <v>7.8333333333333304</v>
      </c>
      <c r="L215" s="4">
        <v>317703.5</v>
      </c>
      <c r="M215" s="4">
        <v>40557.893617021298</v>
      </c>
      <c r="N215" s="4" t="s">
        <v>51</v>
      </c>
      <c r="O215" s="4">
        <v>0.26083905014161501</v>
      </c>
      <c r="P215" s="4">
        <v>0.19066986759330701</v>
      </c>
    </row>
    <row r="216" spans="1:16">
      <c r="A216" s="4" t="s">
        <v>470</v>
      </c>
      <c r="B216" s="4" t="s">
        <v>30</v>
      </c>
      <c r="C216" s="4" t="s">
        <v>471</v>
      </c>
      <c r="D216" s="4" t="s">
        <v>32</v>
      </c>
      <c r="E216" s="4" t="s">
        <v>33</v>
      </c>
      <c r="F216" s="4" t="s">
        <v>34</v>
      </c>
      <c r="G216" s="4">
        <v>1</v>
      </c>
      <c r="H216" s="4">
        <v>378</v>
      </c>
      <c r="I216" s="4">
        <v>15164236.5</v>
      </c>
      <c r="J216" s="4">
        <v>48</v>
      </c>
      <c r="K216" s="4">
        <v>7.875</v>
      </c>
      <c r="L216" s="4">
        <v>315921.59375</v>
      </c>
      <c r="M216" s="4">
        <v>40117.027777777803</v>
      </c>
      <c r="N216" s="4" t="s">
        <v>47</v>
      </c>
      <c r="O216" s="4">
        <v>0.26422777698039701</v>
      </c>
      <c r="P216" s="4">
        <v>0.18862804414885401</v>
      </c>
    </row>
    <row r="217" spans="1:16">
      <c r="A217" s="4" t="s">
        <v>472</v>
      </c>
      <c r="B217" s="4" t="s">
        <v>30</v>
      </c>
      <c r="C217" s="4" t="s">
        <v>473</v>
      </c>
      <c r="D217" s="4" t="s">
        <v>32</v>
      </c>
      <c r="E217" s="4" t="s">
        <v>33</v>
      </c>
      <c r="F217" s="4" t="s">
        <v>34</v>
      </c>
      <c r="G217" s="4">
        <v>1</v>
      </c>
      <c r="H217" s="4">
        <v>376</v>
      </c>
      <c r="I217" s="4">
        <v>15130196</v>
      </c>
      <c r="J217" s="4">
        <v>48</v>
      </c>
      <c r="K217" s="4">
        <v>7.8333333333333304</v>
      </c>
      <c r="L217" s="4">
        <v>315212.41666666698</v>
      </c>
      <c r="M217" s="4">
        <v>40239.882978723399</v>
      </c>
      <c r="N217" s="4" t="s">
        <v>54</v>
      </c>
      <c r="O217" s="4">
        <v>0.31495461129518698</v>
      </c>
      <c r="P217" s="4">
        <v>0.25008284886957399</v>
      </c>
    </row>
    <row r="218" spans="1:16">
      <c r="A218" s="4" t="s">
        <v>474</v>
      </c>
      <c r="B218" s="4" t="s">
        <v>30</v>
      </c>
      <c r="C218" s="4" t="s">
        <v>475</v>
      </c>
      <c r="D218" s="4" t="s">
        <v>32</v>
      </c>
      <c r="E218" s="4" t="s">
        <v>67</v>
      </c>
      <c r="F218" s="4" t="s">
        <v>34</v>
      </c>
      <c r="G218" s="4">
        <v>1</v>
      </c>
      <c r="H218" s="4">
        <v>408</v>
      </c>
      <c r="I218" s="4">
        <v>15092746</v>
      </c>
      <c r="J218" s="4">
        <v>48</v>
      </c>
      <c r="K218" s="4">
        <v>8.5</v>
      </c>
      <c r="L218" s="4">
        <v>314432.20833333302</v>
      </c>
      <c r="M218" s="4">
        <v>36992.024509803901</v>
      </c>
      <c r="N218" s="4" t="s">
        <v>51</v>
      </c>
      <c r="O218" s="4">
        <v>0.315539465117879</v>
      </c>
      <c r="P218" s="4">
        <v>0.21031086333969701</v>
      </c>
    </row>
    <row r="219" spans="1:16">
      <c r="A219" s="4" t="s">
        <v>476</v>
      </c>
      <c r="B219" s="4" t="s">
        <v>30</v>
      </c>
      <c r="C219" s="4" t="s">
        <v>477</v>
      </c>
      <c r="D219" s="4" t="s">
        <v>32</v>
      </c>
      <c r="E219" s="4" t="s">
        <v>67</v>
      </c>
      <c r="F219" s="4" t="s">
        <v>34</v>
      </c>
      <c r="G219" s="4">
        <v>1</v>
      </c>
      <c r="H219" s="4">
        <v>404</v>
      </c>
      <c r="I219" s="4">
        <v>15071628</v>
      </c>
      <c r="J219" s="4">
        <v>48</v>
      </c>
      <c r="K219" s="4">
        <v>8.4166666666666696</v>
      </c>
      <c r="L219" s="4">
        <v>313992.25</v>
      </c>
      <c r="M219" s="4">
        <v>37306.009900990102</v>
      </c>
      <c r="N219" s="4" t="s">
        <v>38</v>
      </c>
      <c r="O219" s="4">
        <v>0.35216116002863102</v>
      </c>
      <c r="P219" s="4">
        <v>0.219515362302133</v>
      </c>
    </row>
    <row r="220" spans="1:16">
      <c r="A220" s="4" t="s">
        <v>478</v>
      </c>
      <c r="B220" s="4" t="s">
        <v>30</v>
      </c>
      <c r="C220" s="4" t="s">
        <v>479</v>
      </c>
      <c r="D220" s="4" t="s">
        <v>32</v>
      </c>
      <c r="E220" s="4" t="s">
        <v>67</v>
      </c>
      <c r="F220" s="4" t="s">
        <v>34</v>
      </c>
      <c r="G220" s="4">
        <v>1</v>
      </c>
      <c r="H220" s="4">
        <v>382</v>
      </c>
      <c r="I220" s="4">
        <v>15055189</v>
      </c>
      <c r="J220" s="4">
        <v>47</v>
      </c>
      <c r="K220" s="4">
        <v>8.1276595744680904</v>
      </c>
      <c r="L220" s="4">
        <v>320323.17021276598</v>
      </c>
      <c r="M220" s="4">
        <v>39411.489528795799</v>
      </c>
      <c r="N220" s="4" t="s">
        <v>68</v>
      </c>
      <c r="O220" s="4">
        <v>0.28800355810876899</v>
      </c>
      <c r="P220" s="4">
        <v>0.18746320300468799</v>
      </c>
    </row>
    <row r="221" spans="1:16">
      <c r="A221" s="4" t="s">
        <v>480</v>
      </c>
      <c r="B221" s="4" t="s">
        <v>30</v>
      </c>
      <c r="C221" s="4" t="s">
        <v>481</v>
      </c>
      <c r="D221" s="4" t="s">
        <v>41</v>
      </c>
      <c r="E221" s="4" t="s">
        <v>50</v>
      </c>
      <c r="F221" s="4" t="s">
        <v>34</v>
      </c>
      <c r="G221" s="4">
        <v>1</v>
      </c>
      <c r="H221" s="4">
        <v>378</v>
      </c>
      <c r="I221" s="4">
        <v>15004858</v>
      </c>
      <c r="J221" s="4">
        <v>48</v>
      </c>
      <c r="K221" s="4">
        <v>7.875</v>
      </c>
      <c r="L221" s="4">
        <v>312601.20833333302</v>
      </c>
      <c r="M221" s="4">
        <v>39695.3915343915</v>
      </c>
      <c r="N221" s="4" t="s">
        <v>51</v>
      </c>
      <c r="O221" s="4">
        <v>0.43384502539110997</v>
      </c>
      <c r="P221" s="4">
        <v>0.26495884958510701</v>
      </c>
    </row>
    <row r="222" spans="1:16">
      <c r="A222" s="4" t="s">
        <v>482</v>
      </c>
      <c r="B222" s="4" t="s">
        <v>30</v>
      </c>
      <c r="C222" s="4" t="s">
        <v>483</v>
      </c>
      <c r="D222" s="4" t="s">
        <v>32</v>
      </c>
      <c r="E222" s="4" t="s">
        <v>67</v>
      </c>
      <c r="F222" s="4" t="s">
        <v>34</v>
      </c>
      <c r="G222" s="4">
        <v>1</v>
      </c>
      <c r="H222" s="4">
        <v>394</v>
      </c>
      <c r="I222" s="4">
        <v>15002150</v>
      </c>
      <c r="J222" s="4">
        <v>48</v>
      </c>
      <c r="K222" s="4">
        <v>8.2083333333333304</v>
      </c>
      <c r="L222" s="4">
        <v>312544.79166666698</v>
      </c>
      <c r="M222" s="4">
        <v>38076.522842639599</v>
      </c>
      <c r="N222" s="4" t="s">
        <v>54</v>
      </c>
      <c r="O222" s="4">
        <v>0.22697739990601301</v>
      </c>
      <c r="P222" s="4">
        <v>0.180577397815395</v>
      </c>
    </row>
    <row r="223" spans="1:16">
      <c r="A223" s="4" t="s">
        <v>484</v>
      </c>
      <c r="B223" s="4" t="s">
        <v>30</v>
      </c>
      <c r="C223" s="4" t="s">
        <v>485</v>
      </c>
      <c r="D223" s="4" t="s">
        <v>32</v>
      </c>
      <c r="E223" s="4" t="s">
        <v>33</v>
      </c>
      <c r="F223" s="4" t="s">
        <v>34</v>
      </c>
      <c r="G223" s="4">
        <v>1</v>
      </c>
      <c r="H223" s="4">
        <v>349</v>
      </c>
      <c r="I223" s="4">
        <v>14974616</v>
      </c>
      <c r="J223" s="4">
        <v>47</v>
      </c>
      <c r="K223" s="4">
        <v>7.4255319148936199</v>
      </c>
      <c r="L223" s="4">
        <v>318608.85106383002</v>
      </c>
      <c r="M223" s="4">
        <v>42907.209169054397</v>
      </c>
      <c r="N223" s="4" t="s">
        <v>35</v>
      </c>
      <c r="O223" s="4">
        <v>0.27598857960698298</v>
      </c>
      <c r="P223" s="4">
        <v>0.202211448156908</v>
      </c>
    </row>
    <row r="224" spans="1:16">
      <c r="A224" s="4" t="s">
        <v>486</v>
      </c>
      <c r="B224" s="4" t="s">
        <v>30</v>
      </c>
      <c r="C224" s="4" t="s">
        <v>487</v>
      </c>
      <c r="D224" s="4" t="s">
        <v>41</v>
      </c>
      <c r="E224" s="4" t="s">
        <v>50</v>
      </c>
      <c r="F224" s="4" t="s">
        <v>34</v>
      </c>
      <c r="G224" s="4">
        <v>1</v>
      </c>
      <c r="H224" s="4">
        <v>375</v>
      </c>
      <c r="I224" s="4">
        <v>14964183</v>
      </c>
      <c r="J224" s="4">
        <v>48</v>
      </c>
      <c r="K224" s="4">
        <v>7.8125</v>
      </c>
      <c r="L224" s="4">
        <v>311753.8125</v>
      </c>
      <c r="M224" s="4">
        <v>39904.487999999998</v>
      </c>
      <c r="N224" s="4" t="s">
        <v>54</v>
      </c>
      <c r="O224" s="4">
        <v>0.51116028185434503</v>
      </c>
      <c r="P224" s="4">
        <v>0.31747227002204997</v>
      </c>
    </row>
    <row r="225" spans="1:16">
      <c r="A225" s="4" t="s">
        <v>488</v>
      </c>
      <c r="B225" s="4" t="s">
        <v>30</v>
      </c>
      <c r="C225" s="4" t="s">
        <v>489</v>
      </c>
      <c r="D225" s="4" t="s">
        <v>41</v>
      </c>
      <c r="E225" s="4" t="s">
        <v>50</v>
      </c>
      <c r="F225" s="4" t="s">
        <v>34</v>
      </c>
      <c r="G225" s="4">
        <v>1</v>
      </c>
      <c r="H225" s="4">
        <v>380</v>
      </c>
      <c r="I225" s="4">
        <v>14949597</v>
      </c>
      <c r="J225" s="4">
        <v>48</v>
      </c>
      <c r="K225" s="4">
        <v>7.9166666666666696</v>
      </c>
      <c r="L225" s="4">
        <v>311449.9375</v>
      </c>
      <c r="M225" s="4">
        <v>39341.044736842101</v>
      </c>
      <c r="N225" s="4" t="s">
        <v>51</v>
      </c>
      <c r="O225" s="4">
        <v>0.220134362150364</v>
      </c>
      <c r="P225" s="4">
        <v>0.17739562139088999</v>
      </c>
    </row>
    <row r="226" spans="1:16">
      <c r="A226" s="4" t="s">
        <v>490</v>
      </c>
      <c r="B226" s="4" t="s">
        <v>30</v>
      </c>
      <c r="C226" s="4" t="s">
        <v>491</v>
      </c>
      <c r="D226" s="4" t="s">
        <v>32</v>
      </c>
      <c r="E226" s="4" t="s">
        <v>33</v>
      </c>
      <c r="F226" s="4" t="s">
        <v>34</v>
      </c>
      <c r="G226" s="4">
        <v>1</v>
      </c>
      <c r="H226" s="4">
        <v>378</v>
      </c>
      <c r="I226" s="4">
        <v>14918650</v>
      </c>
      <c r="J226" s="4">
        <v>48</v>
      </c>
      <c r="K226" s="4">
        <v>7.875</v>
      </c>
      <c r="L226" s="4">
        <v>310805.20833333302</v>
      </c>
      <c r="M226" s="4">
        <v>39467.328042328001</v>
      </c>
      <c r="N226" s="4" t="s">
        <v>51</v>
      </c>
      <c r="O226" s="4">
        <v>0.25216819216215902</v>
      </c>
      <c r="P226" s="4">
        <v>0.18103382560885301</v>
      </c>
    </row>
    <row r="227" spans="1:16">
      <c r="A227" s="4" t="s">
        <v>492</v>
      </c>
      <c r="B227" s="4" t="s">
        <v>30</v>
      </c>
      <c r="C227" s="4" t="s">
        <v>493</v>
      </c>
      <c r="D227" s="4" t="s">
        <v>41</v>
      </c>
      <c r="E227" s="4" t="s">
        <v>42</v>
      </c>
      <c r="F227" s="4" t="s">
        <v>34</v>
      </c>
      <c r="G227" s="4">
        <v>1</v>
      </c>
      <c r="H227" s="4">
        <v>367</v>
      </c>
      <c r="I227" s="4">
        <v>14912794</v>
      </c>
      <c r="J227" s="4">
        <v>48</v>
      </c>
      <c r="K227" s="4">
        <v>7.6458333333333304</v>
      </c>
      <c r="L227" s="4">
        <v>310683.20833333302</v>
      </c>
      <c r="M227" s="4">
        <v>40634.316076294301</v>
      </c>
      <c r="N227" s="4" t="s">
        <v>54</v>
      </c>
      <c r="O227" s="4">
        <v>0.35913015361172401</v>
      </c>
      <c r="P227" s="4">
        <v>0.212743219465346</v>
      </c>
    </row>
    <row r="228" spans="1:16">
      <c r="A228" s="4" t="s">
        <v>494</v>
      </c>
      <c r="B228" s="4" t="s">
        <v>30</v>
      </c>
      <c r="C228" s="4" t="s">
        <v>495</v>
      </c>
      <c r="D228" s="4" t="s">
        <v>32</v>
      </c>
      <c r="E228" s="4" t="s">
        <v>33</v>
      </c>
      <c r="F228" s="4" t="s">
        <v>34</v>
      </c>
      <c r="G228" s="4">
        <v>1</v>
      </c>
      <c r="H228" s="4">
        <v>374</v>
      </c>
      <c r="I228" s="4">
        <v>14899138</v>
      </c>
      <c r="J228" s="4">
        <v>48</v>
      </c>
      <c r="K228" s="4">
        <v>7.7916666666666696</v>
      </c>
      <c r="L228" s="4">
        <v>310398.70833333302</v>
      </c>
      <c r="M228" s="4">
        <v>39837.267379679099</v>
      </c>
      <c r="N228" s="4" t="s">
        <v>54</v>
      </c>
      <c r="O228" s="4">
        <v>0.30957629897783401</v>
      </c>
      <c r="P228" s="4">
        <v>0.22721369263706701</v>
      </c>
    </row>
    <row r="229" spans="1:16">
      <c r="A229" s="4" t="s">
        <v>496</v>
      </c>
      <c r="B229" s="4" t="s">
        <v>30</v>
      </c>
      <c r="C229" s="4" t="s">
        <v>497</v>
      </c>
      <c r="D229" s="4" t="s">
        <v>32</v>
      </c>
      <c r="E229" s="4" t="s">
        <v>67</v>
      </c>
      <c r="F229" s="4" t="s">
        <v>34</v>
      </c>
      <c r="G229" s="4">
        <v>1</v>
      </c>
      <c r="H229" s="4">
        <v>370</v>
      </c>
      <c r="I229" s="4">
        <v>14886170</v>
      </c>
      <c r="J229" s="4">
        <v>48</v>
      </c>
      <c r="K229" s="4">
        <v>7.7083333333333304</v>
      </c>
      <c r="L229" s="4">
        <v>310128.54166666698</v>
      </c>
      <c r="M229" s="4">
        <v>40232.891891891901</v>
      </c>
      <c r="N229" s="4" t="s">
        <v>54</v>
      </c>
      <c r="O229" s="4">
        <v>0.23782195151607199</v>
      </c>
      <c r="P229" s="4">
        <v>0.17714472431853401</v>
      </c>
    </row>
    <row r="230" spans="1:16">
      <c r="A230" s="4" t="s">
        <v>498</v>
      </c>
      <c r="B230" s="4" t="s">
        <v>30</v>
      </c>
      <c r="C230" s="4" t="s">
        <v>499</v>
      </c>
      <c r="D230" s="4" t="s">
        <v>41</v>
      </c>
      <c r="E230" s="4" t="s">
        <v>50</v>
      </c>
      <c r="F230" s="4" t="s">
        <v>34</v>
      </c>
      <c r="G230" s="4">
        <v>1</v>
      </c>
      <c r="H230" s="4">
        <v>368</v>
      </c>
      <c r="I230" s="4">
        <v>14837356</v>
      </c>
      <c r="J230" s="4">
        <v>48</v>
      </c>
      <c r="K230" s="4">
        <v>7.6666666666666696</v>
      </c>
      <c r="L230" s="4">
        <v>309111.58333333302</v>
      </c>
      <c r="M230" s="4">
        <v>40318.902173912997</v>
      </c>
      <c r="N230" s="4" t="s">
        <v>54</v>
      </c>
      <c r="O230" s="4">
        <v>0.25932982938469601</v>
      </c>
      <c r="P230" s="4">
        <v>0.18962908744851301</v>
      </c>
    </row>
    <row r="231" spans="1:16">
      <c r="A231" s="4" t="s">
        <v>500</v>
      </c>
      <c r="B231" s="4" t="s">
        <v>30</v>
      </c>
      <c r="C231" s="4" t="s">
        <v>501</v>
      </c>
      <c r="D231" s="4" t="s">
        <v>41</v>
      </c>
      <c r="E231" s="4" t="s">
        <v>42</v>
      </c>
      <c r="F231" s="4" t="s">
        <v>34</v>
      </c>
      <c r="G231" s="4">
        <v>1</v>
      </c>
      <c r="H231" s="4">
        <v>382</v>
      </c>
      <c r="I231" s="4">
        <v>14835040</v>
      </c>
      <c r="J231" s="4">
        <v>48</v>
      </c>
      <c r="K231" s="4">
        <v>7.9583333333333304</v>
      </c>
      <c r="L231" s="4">
        <v>309063.33333333302</v>
      </c>
      <c r="M231" s="4">
        <v>38835.183246073299</v>
      </c>
      <c r="N231" s="4" t="s">
        <v>47</v>
      </c>
      <c r="O231" s="4">
        <v>0.241528637603943</v>
      </c>
      <c r="P231" s="4">
        <v>0.179962805200896</v>
      </c>
    </row>
    <row r="232" spans="1:16">
      <c r="A232" s="4" t="s">
        <v>502</v>
      </c>
      <c r="B232" s="4" t="s">
        <v>30</v>
      </c>
      <c r="C232" s="4" t="s">
        <v>503</v>
      </c>
      <c r="D232" s="4" t="s">
        <v>32</v>
      </c>
      <c r="E232" s="4" t="s">
        <v>33</v>
      </c>
      <c r="F232" s="4" t="s">
        <v>34</v>
      </c>
      <c r="G232" s="4">
        <v>1</v>
      </c>
      <c r="H232" s="4">
        <v>386</v>
      </c>
      <c r="I232" s="4">
        <v>14805318</v>
      </c>
      <c r="J232" s="4">
        <v>48</v>
      </c>
      <c r="K232" s="4">
        <v>8.0416666666666696</v>
      </c>
      <c r="L232" s="4">
        <v>308444.125</v>
      </c>
      <c r="M232" s="4">
        <v>38355.746113989597</v>
      </c>
      <c r="N232" s="4" t="s">
        <v>54</v>
      </c>
      <c r="O232" s="4">
        <v>0.242110976609891</v>
      </c>
      <c r="P232" s="4">
        <v>0.19446085129412899</v>
      </c>
    </row>
    <row r="233" spans="1:16">
      <c r="A233" s="4" t="s">
        <v>504</v>
      </c>
      <c r="B233" s="4" t="s">
        <v>30</v>
      </c>
      <c r="C233" s="4" t="s">
        <v>505</v>
      </c>
      <c r="D233" s="4" t="s">
        <v>32</v>
      </c>
      <c r="E233" s="4" t="s">
        <v>33</v>
      </c>
      <c r="F233" s="4" t="s">
        <v>34</v>
      </c>
      <c r="G233" s="4">
        <v>1</v>
      </c>
      <c r="H233" s="4">
        <v>371</v>
      </c>
      <c r="I233" s="4">
        <v>14770636</v>
      </c>
      <c r="J233" s="4">
        <v>48</v>
      </c>
      <c r="K233" s="4">
        <v>7.7291666666666696</v>
      </c>
      <c r="L233" s="4">
        <v>307721.58333333302</v>
      </c>
      <c r="M233" s="4">
        <v>39813.035040431299</v>
      </c>
      <c r="N233" s="4" t="s">
        <v>35</v>
      </c>
      <c r="O233" s="4">
        <v>0.31922647068142501</v>
      </c>
      <c r="P233" s="4">
        <v>0.211034527079658</v>
      </c>
    </row>
    <row r="234" spans="1:16">
      <c r="A234" s="4" t="s">
        <v>506</v>
      </c>
      <c r="B234" s="4" t="s">
        <v>30</v>
      </c>
      <c r="C234" s="4" t="s">
        <v>507</v>
      </c>
      <c r="D234" s="4" t="s">
        <v>32</v>
      </c>
      <c r="E234" s="4" t="s">
        <v>33</v>
      </c>
      <c r="F234" s="4" t="s">
        <v>34</v>
      </c>
      <c r="G234" s="4">
        <v>1</v>
      </c>
      <c r="H234" s="4">
        <v>377</v>
      </c>
      <c r="I234" s="4">
        <v>14748118</v>
      </c>
      <c r="J234" s="4">
        <v>48</v>
      </c>
      <c r="K234" s="4">
        <v>7.8541666666666696</v>
      </c>
      <c r="L234" s="4">
        <v>307252.45833333302</v>
      </c>
      <c r="M234" s="4">
        <v>39119.676392572997</v>
      </c>
      <c r="N234" s="4" t="s">
        <v>54</v>
      </c>
      <c r="O234" s="4">
        <v>0.33292390256166898</v>
      </c>
      <c r="P234" s="4">
        <v>0.20986604460636801</v>
      </c>
    </row>
    <row r="235" spans="1:16">
      <c r="A235" s="4" t="s">
        <v>508</v>
      </c>
      <c r="B235" s="4" t="s">
        <v>30</v>
      </c>
      <c r="C235" s="4" t="s">
        <v>509</v>
      </c>
      <c r="D235" s="4" t="s">
        <v>41</v>
      </c>
      <c r="E235" s="4" t="s">
        <v>42</v>
      </c>
      <c r="F235" s="4" t="s">
        <v>34</v>
      </c>
      <c r="G235" s="4">
        <v>1</v>
      </c>
      <c r="H235" s="4">
        <v>372</v>
      </c>
      <c r="I235" s="4">
        <v>14723207</v>
      </c>
      <c r="J235" s="4">
        <v>48</v>
      </c>
      <c r="K235" s="4">
        <v>7.75</v>
      </c>
      <c r="L235" s="4">
        <v>306733.47916666698</v>
      </c>
      <c r="M235" s="4">
        <v>39578.513440860203</v>
      </c>
      <c r="N235" s="4" t="s">
        <v>47</v>
      </c>
      <c r="O235" s="4">
        <v>0.25040475217118102</v>
      </c>
      <c r="P235" s="4">
        <v>0.18246991464439799</v>
      </c>
    </row>
    <row r="236" spans="1:16">
      <c r="A236" s="4" t="s">
        <v>510</v>
      </c>
      <c r="B236" s="4" t="s">
        <v>30</v>
      </c>
      <c r="C236" s="4" t="s">
        <v>511</v>
      </c>
      <c r="D236" s="4" t="s">
        <v>41</v>
      </c>
      <c r="E236" s="4" t="s">
        <v>50</v>
      </c>
      <c r="F236" s="4" t="s">
        <v>34</v>
      </c>
      <c r="G236" s="4">
        <v>1</v>
      </c>
      <c r="H236" s="4">
        <v>370</v>
      </c>
      <c r="I236" s="4">
        <v>14709283</v>
      </c>
      <c r="J236" s="4">
        <v>48</v>
      </c>
      <c r="K236" s="4">
        <v>7.7083333333333304</v>
      </c>
      <c r="L236" s="4">
        <v>306443.39583333302</v>
      </c>
      <c r="M236" s="4">
        <v>39754.8189189189</v>
      </c>
      <c r="N236" s="4" t="s">
        <v>51</v>
      </c>
      <c r="O236" s="4">
        <v>0.42559368801320901</v>
      </c>
      <c r="P236" s="4">
        <v>0.25673926721045698</v>
      </c>
    </row>
    <row r="237" spans="1:16">
      <c r="A237" s="4" t="s">
        <v>512</v>
      </c>
      <c r="B237" s="4" t="s">
        <v>30</v>
      </c>
      <c r="C237" s="4" t="s">
        <v>513</v>
      </c>
      <c r="D237" s="4" t="s">
        <v>41</v>
      </c>
      <c r="E237" s="4" t="s">
        <v>42</v>
      </c>
      <c r="F237" s="4" t="s">
        <v>34</v>
      </c>
      <c r="G237" s="4">
        <v>1</v>
      </c>
      <c r="H237" s="4">
        <v>366</v>
      </c>
      <c r="I237" s="4">
        <v>14705734</v>
      </c>
      <c r="J237" s="4">
        <v>48</v>
      </c>
      <c r="K237" s="4">
        <v>7.625</v>
      </c>
      <c r="L237" s="4">
        <v>306369.45833333302</v>
      </c>
      <c r="M237" s="4">
        <v>40179.601092896199</v>
      </c>
      <c r="N237" s="4" t="s">
        <v>35</v>
      </c>
      <c r="O237" s="4">
        <v>0.33443356176577099</v>
      </c>
      <c r="P237" s="4">
        <v>0.21261341656329499</v>
      </c>
    </row>
    <row r="238" spans="1:16">
      <c r="A238" s="4" t="s">
        <v>514</v>
      </c>
      <c r="B238" s="4" t="s">
        <v>30</v>
      </c>
      <c r="C238" s="4" t="s">
        <v>515</v>
      </c>
      <c r="D238" s="4" t="s">
        <v>41</v>
      </c>
      <c r="E238" s="4" t="s">
        <v>42</v>
      </c>
      <c r="F238" s="4" t="s">
        <v>34</v>
      </c>
      <c r="G238" s="4">
        <v>1</v>
      </c>
      <c r="H238" s="4">
        <v>392</v>
      </c>
      <c r="I238" s="4">
        <v>14684247</v>
      </c>
      <c r="J238" s="4">
        <v>48</v>
      </c>
      <c r="K238" s="4">
        <v>8.1666666666666696</v>
      </c>
      <c r="L238" s="4">
        <v>305921.8125</v>
      </c>
      <c r="M238" s="4">
        <v>37459.8137755102</v>
      </c>
      <c r="N238" s="4" t="s">
        <v>54</v>
      </c>
      <c r="O238" s="4">
        <v>0.284882636474312</v>
      </c>
      <c r="P238" s="4">
        <v>0.18710853513106501</v>
      </c>
    </row>
    <row r="239" spans="1:16">
      <c r="A239" s="4" t="s">
        <v>516</v>
      </c>
      <c r="B239" s="4" t="s">
        <v>30</v>
      </c>
      <c r="C239" s="4" t="s">
        <v>517</v>
      </c>
      <c r="D239" s="4" t="s">
        <v>41</v>
      </c>
      <c r="E239" s="4" t="s">
        <v>50</v>
      </c>
      <c r="F239" s="4" t="s">
        <v>34</v>
      </c>
      <c r="G239" s="4">
        <v>1</v>
      </c>
      <c r="H239" s="4">
        <v>380</v>
      </c>
      <c r="I239" s="4">
        <v>14681500</v>
      </c>
      <c r="J239" s="4">
        <v>48</v>
      </c>
      <c r="K239" s="4">
        <v>7.9166666666666696</v>
      </c>
      <c r="L239" s="4">
        <v>305864.58333333302</v>
      </c>
      <c r="M239" s="4">
        <v>38635.526315789502</v>
      </c>
      <c r="N239" s="4" t="s">
        <v>35</v>
      </c>
      <c r="O239" s="4">
        <v>0.25048727991009101</v>
      </c>
      <c r="P239" s="4">
        <v>0.198598331370269</v>
      </c>
    </row>
    <row r="240" spans="1:16">
      <c r="A240" s="4" t="s">
        <v>518</v>
      </c>
      <c r="B240" s="4" t="s">
        <v>30</v>
      </c>
      <c r="C240" s="4" t="s">
        <v>519</v>
      </c>
      <c r="D240" s="4" t="s">
        <v>32</v>
      </c>
      <c r="E240" s="4" t="s">
        <v>33</v>
      </c>
      <c r="F240" s="4" t="s">
        <v>34</v>
      </c>
      <c r="G240" s="4">
        <v>1</v>
      </c>
      <c r="H240" s="4">
        <v>376</v>
      </c>
      <c r="I240" s="4">
        <v>14675189</v>
      </c>
      <c r="J240" s="4">
        <v>48</v>
      </c>
      <c r="K240" s="4">
        <v>7.8333333333333304</v>
      </c>
      <c r="L240" s="4">
        <v>305733.10416666698</v>
      </c>
      <c r="M240" s="4">
        <v>39029.757978723399</v>
      </c>
      <c r="N240" s="4" t="s">
        <v>47</v>
      </c>
      <c r="O240" s="4">
        <v>0.201406605393634</v>
      </c>
      <c r="P240" s="4">
        <v>0.17276167846468399</v>
      </c>
    </row>
    <row r="241" spans="1:16">
      <c r="A241" s="4" t="s">
        <v>520</v>
      </c>
      <c r="B241" s="4" t="s">
        <v>30</v>
      </c>
      <c r="C241" s="4" t="s">
        <v>521</v>
      </c>
      <c r="D241" s="4" t="s">
        <v>41</v>
      </c>
      <c r="E241" s="4" t="s">
        <v>42</v>
      </c>
      <c r="F241" s="4" t="s">
        <v>34</v>
      </c>
      <c r="G241" s="4">
        <v>1</v>
      </c>
      <c r="H241" s="4">
        <v>387</v>
      </c>
      <c r="I241" s="4">
        <v>14647896</v>
      </c>
      <c r="J241" s="4">
        <v>48</v>
      </c>
      <c r="K241" s="4">
        <v>8.0625</v>
      </c>
      <c r="L241" s="4">
        <v>305164.5</v>
      </c>
      <c r="M241" s="4">
        <v>37849.860465116297</v>
      </c>
      <c r="N241" s="4" t="s">
        <v>54</v>
      </c>
      <c r="O241" s="4">
        <v>0.2684833371291</v>
      </c>
      <c r="P241" s="4">
        <v>0.196866389162621</v>
      </c>
    </row>
    <row r="242" spans="1:16">
      <c r="A242" s="4" t="s">
        <v>522</v>
      </c>
      <c r="B242" s="4" t="s">
        <v>30</v>
      </c>
      <c r="C242" s="4" t="s">
        <v>523</v>
      </c>
      <c r="D242" s="4" t="s">
        <v>32</v>
      </c>
      <c r="E242" s="4" t="s">
        <v>33</v>
      </c>
      <c r="F242" s="4" t="s">
        <v>34</v>
      </c>
      <c r="G242" s="4">
        <v>1</v>
      </c>
      <c r="H242" s="4">
        <v>368</v>
      </c>
      <c r="I242" s="4">
        <v>14620034</v>
      </c>
      <c r="J242" s="4">
        <v>48</v>
      </c>
      <c r="K242" s="4">
        <v>7.6666666666666696</v>
      </c>
      <c r="L242" s="4">
        <v>304584.04166666698</v>
      </c>
      <c r="M242" s="4">
        <v>39728.353260869597</v>
      </c>
      <c r="N242" s="4" t="s">
        <v>51</v>
      </c>
      <c r="O242" s="4">
        <v>0.354168943793154</v>
      </c>
      <c r="P242" s="4">
        <v>0.23851861552985501</v>
      </c>
    </row>
    <row r="243" spans="1:16">
      <c r="A243" s="4" t="s">
        <v>524</v>
      </c>
      <c r="B243" s="4" t="s">
        <v>30</v>
      </c>
      <c r="C243" s="4" t="s">
        <v>525</v>
      </c>
      <c r="D243" s="4" t="s">
        <v>41</v>
      </c>
      <c r="E243" s="4" t="s">
        <v>50</v>
      </c>
      <c r="F243" s="4" t="s">
        <v>34</v>
      </c>
      <c r="G243" s="4">
        <v>1</v>
      </c>
      <c r="H243" s="4">
        <v>396</v>
      </c>
      <c r="I243" s="4">
        <v>14591022</v>
      </c>
      <c r="J243" s="4">
        <v>48</v>
      </c>
      <c r="K243" s="4">
        <v>8.25</v>
      </c>
      <c r="L243" s="4">
        <v>303979.625</v>
      </c>
      <c r="M243" s="4">
        <v>36846.015151515203</v>
      </c>
      <c r="N243" s="4" t="s">
        <v>51</v>
      </c>
      <c r="O243" s="4">
        <v>0.213239963588568</v>
      </c>
      <c r="P243" s="4">
        <v>0.17407717939761899</v>
      </c>
    </row>
    <row r="244" spans="1:16">
      <c r="A244" s="4" t="s">
        <v>526</v>
      </c>
      <c r="B244" s="4" t="s">
        <v>30</v>
      </c>
      <c r="C244" s="4" t="s">
        <v>527</v>
      </c>
      <c r="D244" s="4" t="s">
        <v>32</v>
      </c>
      <c r="E244" s="4" t="s">
        <v>33</v>
      </c>
      <c r="F244" s="4" t="s">
        <v>34</v>
      </c>
      <c r="G244" s="4">
        <v>1</v>
      </c>
      <c r="H244" s="4">
        <v>381</v>
      </c>
      <c r="I244" s="4">
        <v>14572760</v>
      </c>
      <c r="J244" s="4">
        <v>48</v>
      </c>
      <c r="K244" s="4">
        <v>7.9375</v>
      </c>
      <c r="L244" s="4">
        <v>303599.16666666698</v>
      </c>
      <c r="M244" s="4">
        <v>38248.713910761202</v>
      </c>
      <c r="N244" s="4" t="s">
        <v>54</v>
      </c>
      <c r="O244" s="4">
        <v>0.34918546658285698</v>
      </c>
      <c r="P244" s="4">
        <v>0.220805755167441</v>
      </c>
    </row>
    <row r="245" spans="1:16">
      <c r="A245" s="4" t="s">
        <v>528</v>
      </c>
      <c r="B245" s="4" t="s">
        <v>30</v>
      </c>
      <c r="C245" s="4" t="s">
        <v>529</v>
      </c>
      <c r="D245" s="4" t="s">
        <v>41</v>
      </c>
      <c r="E245" s="4" t="s">
        <v>42</v>
      </c>
      <c r="F245" s="4" t="s">
        <v>34</v>
      </c>
      <c r="G245" s="4">
        <v>1</v>
      </c>
      <c r="H245" s="4">
        <v>384</v>
      </c>
      <c r="I245" s="4">
        <v>14555977</v>
      </c>
      <c r="J245" s="4">
        <v>47</v>
      </c>
      <c r="K245" s="4">
        <v>8.1702127659574497</v>
      </c>
      <c r="L245" s="4">
        <v>309701.63829787198</v>
      </c>
      <c r="M245" s="4">
        <v>37906.190104166701</v>
      </c>
      <c r="N245" s="4" t="s">
        <v>68</v>
      </c>
      <c r="O245" s="4">
        <v>0.30254506447763702</v>
      </c>
      <c r="P245" s="4">
        <v>0.19749337501865499</v>
      </c>
    </row>
    <row r="246" spans="1:16">
      <c r="A246" s="4" t="s">
        <v>530</v>
      </c>
      <c r="B246" s="4" t="s">
        <v>30</v>
      </c>
      <c r="C246" s="4" t="s">
        <v>531</v>
      </c>
      <c r="D246" s="4" t="s">
        <v>41</v>
      </c>
      <c r="E246" s="4" t="s">
        <v>42</v>
      </c>
      <c r="F246" s="4" t="s">
        <v>34</v>
      </c>
      <c r="G246" s="4">
        <v>1</v>
      </c>
      <c r="H246" s="4">
        <v>391</v>
      </c>
      <c r="I246" s="4">
        <v>14550335</v>
      </c>
      <c r="J246" s="4">
        <v>47</v>
      </c>
      <c r="K246" s="4">
        <v>8.31914893617021</v>
      </c>
      <c r="L246" s="4">
        <v>309581.59574468102</v>
      </c>
      <c r="M246" s="4">
        <v>37213.132992327402</v>
      </c>
      <c r="N246" s="4" t="s">
        <v>54</v>
      </c>
      <c r="O246" s="4">
        <v>0.290443622088426</v>
      </c>
      <c r="P246" s="4">
        <v>0.195217937927189</v>
      </c>
    </row>
    <row r="247" spans="1:16">
      <c r="A247" s="4" t="s">
        <v>532</v>
      </c>
      <c r="B247" s="4" t="s">
        <v>30</v>
      </c>
      <c r="C247" s="4" t="s">
        <v>533</v>
      </c>
      <c r="D247" s="4" t="s">
        <v>41</v>
      </c>
      <c r="E247" s="4" t="s">
        <v>42</v>
      </c>
      <c r="F247" s="4" t="s">
        <v>34</v>
      </c>
      <c r="G247" s="4">
        <v>1</v>
      </c>
      <c r="H247" s="4">
        <v>407</v>
      </c>
      <c r="I247" s="4">
        <v>14514932</v>
      </c>
      <c r="J247" s="4">
        <v>48</v>
      </c>
      <c r="K247" s="4">
        <v>8.4791666666666696</v>
      </c>
      <c r="L247" s="4">
        <v>302394.41666666698</v>
      </c>
      <c r="M247" s="4">
        <v>35663.223587223598</v>
      </c>
      <c r="N247" s="4" t="s">
        <v>54</v>
      </c>
      <c r="O247" s="4">
        <v>0.295318572625762</v>
      </c>
      <c r="P247" s="4">
        <v>0.20567224700116199</v>
      </c>
    </row>
    <row r="248" spans="1:16">
      <c r="A248" s="4" t="s">
        <v>534</v>
      </c>
      <c r="B248" s="4" t="s">
        <v>30</v>
      </c>
      <c r="C248" s="4" t="s">
        <v>535</v>
      </c>
      <c r="D248" s="4" t="s">
        <v>41</v>
      </c>
      <c r="E248" s="4" t="s">
        <v>50</v>
      </c>
      <c r="F248" s="4" t="s">
        <v>34</v>
      </c>
      <c r="G248" s="4">
        <v>1</v>
      </c>
      <c r="H248" s="4">
        <v>363</v>
      </c>
      <c r="I248" s="4">
        <v>14504025</v>
      </c>
      <c r="J248" s="4">
        <v>48</v>
      </c>
      <c r="K248" s="4">
        <v>7.5625</v>
      </c>
      <c r="L248" s="4">
        <v>302167.1875</v>
      </c>
      <c r="M248" s="4">
        <v>39955.991735537202</v>
      </c>
      <c r="N248" s="4" t="s">
        <v>51</v>
      </c>
      <c r="O248" s="4">
        <v>0.265120544124821</v>
      </c>
      <c r="P248" s="4">
        <v>0.18507509215479201</v>
      </c>
    </row>
    <row r="249" spans="1:16">
      <c r="A249" s="4" t="s">
        <v>536</v>
      </c>
      <c r="B249" s="4" t="s">
        <v>30</v>
      </c>
      <c r="C249" s="4" t="s">
        <v>537</v>
      </c>
      <c r="D249" s="4" t="s">
        <v>32</v>
      </c>
      <c r="E249" s="4" t="s">
        <v>67</v>
      </c>
      <c r="F249" s="4" t="s">
        <v>34</v>
      </c>
      <c r="G249" s="4">
        <v>1</v>
      </c>
      <c r="H249" s="4">
        <v>378</v>
      </c>
      <c r="I249" s="4">
        <v>14442606</v>
      </c>
      <c r="J249" s="4">
        <v>48</v>
      </c>
      <c r="K249" s="4">
        <v>7.875</v>
      </c>
      <c r="L249" s="4">
        <v>300887.625</v>
      </c>
      <c r="M249" s="4">
        <v>38207.952380952403</v>
      </c>
      <c r="N249" s="4" t="s">
        <v>47</v>
      </c>
      <c r="O249" s="4">
        <v>0.28484873159317697</v>
      </c>
      <c r="P249" s="4">
        <v>0.19192116838251599</v>
      </c>
    </row>
    <row r="250" spans="1:16">
      <c r="A250" s="4" t="s">
        <v>538</v>
      </c>
      <c r="B250" s="4" t="s">
        <v>30</v>
      </c>
      <c r="C250" s="4" t="s">
        <v>539</v>
      </c>
      <c r="D250" s="4" t="s">
        <v>41</v>
      </c>
      <c r="E250" s="4" t="s">
        <v>50</v>
      </c>
      <c r="F250" s="4" t="s">
        <v>34</v>
      </c>
      <c r="G250" s="4">
        <v>1</v>
      </c>
      <c r="H250" s="4">
        <v>360</v>
      </c>
      <c r="I250" s="4">
        <v>14407122</v>
      </c>
      <c r="J250" s="4">
        <v>48</v>
      </c>
      <c r="K250" s="4">
        <v>7.5</v>
      </c>
      <c r="L250" s="4">
        <v>300148.375</v>
      </c>
      <c r="M250" s="4">
        <v>40019.783333333296</v>
      </c>
      <c r="N250" s="4" t="s">
        <v>51</v>
      </c>
      <c r="O250" s="4">
        <v>0.29317382055902602</v>
      </c>
      <c r="P250" s="4">
        <v>0.20271080862798299</v>
      </c>
    </row>
    <row r="251" spans="1:16">
      <c r="A251" s="4" t="s">
        <v>540</v>
      </c>
      <c r="B251" s="4" t="s">
        <v>30</v>
      </c>
      <c r="C251" s="4" t="s">
        <v>541</v>
      </c>
      <c r="D251" s="4" t="s">
        <v>32</v>
      </c>
      <c r="E251" s="4" t="s">
        <v>33</v>
      </c>
      <c r="F251" s="4" t="s">
        <v>34</v>
      </c>
      <c r="G251" s="4">
        <v>1</v>
      </c>
      <c r="H251" s="4">
        <v>421</v>
      </c>
      <c r="I251" s="4">
        <v>14282238</v>
      </c>
      <c r="J251" s="4">
        <v>48</v>
      </c>
      <c r="K251" s="4">
        <v>8.7708333333333304</v>
      </c>
      <c r="L251" s="4">
        <v>297546.625</v>
      </c>
      <c r="M251" s="4">
        <v>33924.555819477398</v>
      </c>
      <c r="N251" s="4" t="s">
        <v>68</v>
      </c>
      <c r="O251" s="4">
        <v>0.38874579740234</v>
      </c>
      <c r="P251" s="4">
        <v>0.240649371060214</v>
      </c>
    </row>
    <row r="252" spans="1:16">
      <c r="A252" s="4" t="s">
        <v>542</v>
      </c>
      <c r="B252" s="4" t="s">
        <v>30</v>
      </c>
      <c r="C252" s="4" t="s">
        <v>543</v>
      </c>
      <c r="D252" s="4" t="s">
        <v>32</v>
      </c>
      <c r="E252" s="4" t="s">
        <v>33</v>
      </c>
      <c r="F252" s="4" t="s">
        <v>34</v>
      </c>
      <c r="G252" s="4">
        <v>1</v>
      </c>
      <c r="H252" s="4">
        <v>356</v>
      </c>
      <c r="I252" s="4">
        <v>14276666</v>
      </c>
      <c r="J252" s="4">
        <v>48</v>
      </c>
      <c r="K252" s="4">
        <v>7.4166666666666696</v>
      </c>
      <c r="L252" s="4">
        <v>297430.54166666698</v>
      </c>
      <c r="M252" s="4">
        <v>40102.994382022502</v>
      </c>
      <c r="N252" s="4" t="s">
        <v>35</v>
      </c>
      <c r="O252" s="4">
        <v>0.33474678191673002</v>
      </c>
      <c r="P252" s="4">
        <v>0.21959897423649399</v>
      </c>
    </row>
    <row r="253" spans="1:16">
      <c r="A253" s="4" t="s">
        <v>544</v>
      </c>
      <c r="B253" s="4" t="s">
        <v>30</v>
      </c>
      <c r="C253" s="4" t="s">
        <v>545</v>
      </c>
      <c r="D253" s="4" t="s">
        <v>41</v>
      </c>
      <c r="E253" s="4" t="s">
        <v>50</v>
      </c>
      <c r="F253" s="4" t="s">
        <v>34</v>
      </c>
      <c r="G253" s="4">
        <v>1</v>
      </c>
      <c r="H253" s="4">
        <v>423</v>
      </c>
      <c r="I253" s="4">
        <v>14220908</v>
      </c>
      <c r="J253" s="4">
        <v>48</v>
      </c>
      <c r="K253" s="4">
        <v>8.8125</v>
      </c>
      <c r="L253" s="4">
        <v>296268.91666666698</v>
      </c>
      <c r="M253" s="4">
        <v>33619.167848699799</v>
      </c>
      <c r="N253" s="4" t="s">
        <v>35</v>
      </c>
      <c r="O253" s="4">
        <v>0.36255083008764299</v>
      </c>
      <c r="P253" s="4">
        <v>0.22572144327055699</v>
      </c>
    </row>
    <row r="254" spans="1:16">
      <c r="A254" s="4" t="s">
        <v>546</v>
      </c>
      <c r="B254" s="4" t="s">
        <v>30</v>
      </c>
      <c r="C254" s="4" t="s">
        <v>547</v>
      </c>
      <c r="D254" s="4" t="s">
        <v>32</v>
      </c>
      <c r="E254" s="4" t="s">
        <v>67</v>
      </c>
      <c r="F254" s="4" t="s">
        <v>34</v>
      </c>
      <c r="G254" s="4">
        <v>1</v>
      </c>
      <c r="H254" s="4">
        <v>353</v>
      </c>
      <c r="I254" s="4">
        <v>14186478</v>
      </c>
      <c r="J254" s="4">
        <v>48</v>
      </c>
      <c r="K254" s="4">
        <v>7.3541666666666696</v>
      </c>
      <c r="L254" s="4">
        <v>295551.625</v>
      </c>
      <c r="M254" s="4">
        <v>40188.322946175598</v>
      </c>
      <c r="N254" s="4" t="s">
        <v>68</v>
      </c>
      <c r="O254" s="4">
        <v>0.229993237222093</v>
      </c>
      <c r="P254" s="4">
        <v>0.18250587073466501</v>
      </c>
    </row>
    <row r="255" spans="1:16">
      <c r="A255" s="4" t="s">
        <v>548</v>
      </c>
      <c r="B255" s="4" t="s">
        <v>30</v>
      </c>
      <c r="C255" s="4" t="s">
        <v>549</v>
      </c>
      <c r="D255" s="4" t="s">
        <v>41</v>
      </c>
      <c r="E255" s="4" t="s">
        <v>50</v>
      </c>
      <c r="F255" s="4" t="s">
        <v>34</v>
      </c>
      <c r="G255" s="4">
        <v>1</v>
      </c>
      <c r="H255" s="4">
        <v>377</v>
      </c>
      <c r="I255" s="4">
        <v>14175297</v>
      </c>
      <c r="J255" s="4">
        <v>48</v>
      </c>
      <c r="K255" s="4">
        <v>7.8541666666666696</v>
      </c>
      <c r="L255" s="4">
        <v>295318.6875</v>
      </c>
      <c r="M255" s="4">
        <v>37600.257294429699</v>
      </c>
      <c r="N255" s="4" t="s">
        <v>54</v>
      </c>
      <c r="O255" s="4">
        <v>0.247458095586992</v>
      </c>
      <c r="P255" s="4">
        <v>0.18825186420767601</v>
      </c>
    </row>
    <row r="256" spans="1:16">
      <c r="A256" s="4" t="s">
        <v>550</v>
      </c>
      <c r="B256" s="4" t="s">
        <v>30</v>
      </c>
      <c r="C256" s="4" t="s">
        <v>551</v>
      </c>
      <c r="D256" s="4" t="s">
        <v>41</v>
      </c>
      <c r="E256" s="4" t="s">
        <v>42</v>
      </c>
      <c r="F256" s="4" t="s">
        <v>34</v>
      </c>
      <c r="G256" s="4">
        <v>1</v>
      </c>
      <c r="H256" s="4">
        <v>368</v>
      </c>
      <c r="I256" s="4">
        <v>14150953</v>
      </c>
      <c r="J256" s="4">
        <v>48</v>
      </c>
      <c r="K256" s="4">
        <v>7.6666666666666696</v>
      </c>
      <c r="L256" s="4">
        <v>294811.52083333302</v>
      </c>
      <c r="M256" s="4">
        <v>38453.676630434798</v>
      </c>
      <c r="N256" s="4" t="s">
        <v>38</v>
      </c>
      <c r="O256" s="4">
        <v>0.21774236689217999</v>
      </c>
      <c r="P256" s="4">
        <v>0.17605778810164899</v>
      </c>
    </row>
    <row r="257" spans="1:16">
      <c r="A257" s="4" t="s">
        <v>552</v>
      </c>
      <c r="B257" s="4" t="s">
        <v>30</v>
      </c>
      <c r="C257" s="4" t="s">
        <v>553</v>
      </c>
      <c r="D257" s="4" t="s">
        <v>41</v>
      </c>
      <c r="E257" s="4" t="s">
        <v>42</v>
      </c>
      <c r="F257" s="4" t="s">
        <v>34</v>
      </c>
      <c r="G257" s="4">
        <v>1</v>
      </c>
      <c r="H257" s="4">
        <v>381</v>
      </c>
      <c r="I257" s="4">
        <v>14113368</v>
      </c>
      <c r="J257" s="4">
        <v>48</v>
      </c>
      <c r="K257" s="4">
        <v>7.9375</v>
      </c>
      <c r="L257" s="4">
        <v>294028.5</v>
      </c>
      <c r="M257" s="4">
        <v>37042.960629921297</v>
      </c>
      <c r="N257" s="4" t="s">
        <v>54</v>
      </c>
      <c r="O257" s="4">
        <v>0.26719731250542</v>
      </c>
      <c r="P257" s="4">
        <v>0.19335848410869599</v>
      </c>
    </row>
    <row r="258" spans="1:16">
      <c r="A258" s="4" t="s">
        <v>554</v>
      </c>
      <c r="B258" s="4" t="s">
        <v>30</v>
      </c>
      <c r="C258" s="4" t="s">
        <v>555</v>
      </c>
      <c r="D258" s="4" t="s">
        <v>41</v>
      </c>
      <c r="E258" s="4" t="s">
        <v>42</v>
      </c>
      <c r="F258" s="4" t="s">
        <v>34</v>
      </c>
      <c r="G258" s="4">
        <v>1</v>
      </c>
      <c r="H258" s="4">
        <v>402</v>
      </c>
      <c r="I258" s="4">
        <v>14111671</v>
      </c>
      <c r="J258" s="4">
        <v>48</v>
      </c>
      <c r="K258" s="4">
        <v>8.375</v>
      </c>
      <c r="L258" s="4">
        <v>293993.14583333302</v>
      </c>
      <c r="M258" s="4">
        <v>35103.659203980103</v>
      </c>
      <c r="N258" s="4" t="s">
        <v>47</v>
      </c>
      <c r="O258" s="4">
        <v>0.23176581993727</v>
      </c>
      <c r="P258" s="4">
        <v>0.175371150984965</v>
      </c>
    </row>
    <row r="259" spans="1:16">
      <c r="A259" s="4" t="s">
        <v>556</v>
      </c>
      <c r="B259" s="4" t="s">
        <v>30</v>
      </c>
      <c r="C259" s="4" t="s">
        <v>557</v>
      </c>
      <c r="D259" s="4" t="s">
        <v>32</v>
      </c>
      <c r="E259" s="4" t="s">
        <v>33</v>
      </c>
      <c r="F259" s="4" t="s">
        <v>34</v>
      </c>
      <c r="G259" s="4">
        <v>1</v>
      </c>
      <c r="H259" s="4">
        <v>389</v>
      </c>
      <c r="I259" s="4">
        <v>14110472</v>
      </c>
      <c r="J259" s="4">
        <v>48</v>
      </c>
      <c r="K259" s="4">
        <v>8.1041666666666696</v>
      </c>
      <c r="L259" s="4">
        <v>293968.16666666698</v>
      </c>
      <c r="M259" s="4">
        <v>36273.706940873999</v>
      </c>
      <c r="N259" s="4" t="s">
        <v>38</v>
      </c>
      <c r="O259" s="4">
        <v>0.18717687119183499</v>
      </c>
      <c r="P259" s="4">
        <v>0.16822897845808499</v>
      </c>
    </row>
    <row r="260" spans="1:16">
      <c r="A260" s="4" t="s">
        <v>558</v>
      </c>
      <c r="B260" s="4" t="s">
        <v>30</v>
      </c>
      <c r="C260" s="4" t="s">
        <v>559</v>
      </c>
      <c r="D260" s="4" t="s">
        <v>32</v>
      </c>
      <c r="E260" s="4" t="s">
        <v>67</v>
      </c>
      <c r="F260" s="4" t="s">
        <v>34</v>
      </c>
      <c r="G260" s="4">
        <v>1</v>
      </c>
      <c r="H260" s="4">
        <v>391</v>
      </c>
      <c r="I260" s="4">
        <v>14092909</v>
      </c>
      <c r="J260" s="4">
        <v>48</v>
      </c>
      <c r="K260" s="4">
        <v>8.1458333333333304</v>
      </c>
      <c r="L260" s="4">
        <v>293602.27083333302</v>
      </c>
      <c r="M260" s="4">
        <v>36043.245524296697</v>
      </c>
      <c r="N260" s="4" t="s">
        <v>47</v>
      </c>
      <c r="O260" s="4">
        <v>0.47807830164801302</v>
      </c>
      <c r="P260" s="4">
        <v>0.28523781332624298</v>
      </c>
    </row>
    <row r="261" spans="1:16">
      <c r="A261" s="4" t="s">
        <v>560</v>
      </c>
      <c r="B261" s="4" t="s">
        <v>30</v>
      </c>
      <c r="C261" s="4" t="s">
        <v>561</v>
      </c>
      <c r="D261" s="4" t="s">
        <v>32</v>
      </c>
      <c r="E261" s="4" t="s">
        <v>33</v>
      </c>
      <c r="F261" s="4" t="s">
        <v>34</v>
      </c>
      <c r="G261" s="4">
        <v>1</v>
      </c>
      <c r="H261" s="4">
        <v>399</v>
      </c>
      <c r="I261" s="4">
        <v>14083983.633165799</v>
      </c>
      <c r="J261" s="4">
        <v>48</v>
      </c>
      <c r="K261" s="4">
        <v>8.3125</v>
      </c>
      <c r="L261" s="4">
        <v>293416.32569095498</v>
      </c>
      <c r="M261" s="4">
        <v>35298.204594400602</v>
      </c>
      <c r="N261" s="4" t="s">
        <v>68</v>
      </c>
      <c r="O261" s="4">
        <v>0.24666058436656599</v>
      </c>
      <c r="P261" s="4">
        <v>0.18223769273991</v>
      </c>
    </row>
    <row r="262" spans="1:16">
      <c r="A262" s="4" t="s">
        <v>562</v>
      </c>
      <c r="B262" s="4" t="s">
        <v>30</v>
      </c>
      <c r="C262" s="4" t="s">
        <v>563</v>
      </c>
      <c r="D262" s="4" t="s">
        <v>41</v>
      </c>
      <c r="E262" s="4" t="s">
        <v>50</v>
      </c>
      <c r="F262" s="4" t="s">
        <v>34</v>
      </c>
      <c r="G262" s="4">
        <v>1</v>
      </c>
      <c r="H262" s="4">
        <v>378</v>
      </c>
      <c r="I262" s="4">
        <v>13978216</v>
      </c>
      <c r="J262" s="4">
        <v>48</v>
      </c>
      <c r="K262" s="4">
        <v>7.875</v>
      </c>
      <c r="L262" s="4">
        <v>291212.83333333302</v>
      </c>
      <c r="M262" s="4">
        <v>36979.407407407401</v>
      </c>
      <c r="N262" s="4" t="s">
        <v>68</v>
      </c>
      <c r="O262" s="4">
        <v>0.20098344452539599</v>
      </c>
      <c r="P262" s="4">
        <v>0.17408997839260101</v>
      </c>
    </row>
    <row r="263" spans="1:16">
      <c r="A263" s="4" t="s">
        <v>564</v>
      </c>
      <c r="B263" s="4" t="s">
        <v>30</v>
      </c>
      <c r="C263" s="4" t="s">
        <v>565</v>
      </c>
      <c r="D263" s="4" t="s">
        <v>32</v>
      </c>
      <c r="E263" s="4" t="s">
        <v>33</v>
      </c>
      <c r="F263" s="4" t="s">
        <v>34</v>
      </c>
      <c r="G263" s="4">
        <v>1</v>
      </c>
      <c r="H263" s="4">
        <v>416</v>
      </c>
      <c r="I263" s="4">
        <v>13945119</v>
      </c>
      <c r="J263" s="4">
        <v>48</v>
      </c>
      <c r="K263" s="4">
        <v>8.6666666666666696</v>
      </c>
      <c r="L263" s="4">
        <v>290523.3125</v>
      </c>
      <c r="M263" s="4">
        <v>33521.9206730769</v>
      </c>
      <c r="N263" s="4" t="s">
        <v>51</v>
      </c>
      <c r="O263" s="4">
        <v>0.30242904345240801</v>
      </c>
      <c r="P263" s="4">
        <v>0.19009996903245099</v>
      </c>
    </row>
    <row r="264" spans="1:16">
      <c r="A264" s="4" t="s">
        <v>566</v>
      </c>
      <c r="B264" s="4" t="s">
        <v>30</v>
      </c>
      <c r="C264" s="4" t="s">
        <v>567</v>
      </c>
      <c r="D264" s="4" t="s">
        <v>41</v>
      </c>
      <c r="E264" s="4" t="s">
        <v>50</v>
      </c>
      <c r="F264" s="4" t="s">
        <v>34</v>
      </c>
      <c r="G264" s="4">
        <v>1</v>
      </c>
      <c r="H264" s="4">
        <v>370</v>
      </c>
      <c r="I264" s="4">
        <v>13939423</v>
      </c>
      <c r="J264" s="4">
        <v>48</v>
      </c>
      <c r="K264" s="4">
        <v>7.7083333333333304</v>
      </c>
      <c r="L264" s="4">
        <v>290404.64583333302</v>
      </c>
      <c r="M264" s="4">
        <v>37674.1162162162</v>
      </c>
      <c r="N264" s="4" t="s">
        <v>47</v>
      </c>
      <c r="O264" s="4">
        <v>0.222073180503956</v>
      </c>
      <c r="P264" s="4">
        <v>0.17294352557708201</v>
      </c>
    </row>
    <row r="265" spans="1:16">
      <c r="A265" s="4" t="s">
        <v>568</v>
      </c>
      <c r="B265" s="4" t="s">
        <v>30</v>
      </c>
      <c r="C265" s="4" t="s">
        <v>569</v>
      </c>
      <c r="D265" s="4" t="s">
        <v>32</v>
      </c>
      <c r="E265" s="4" t="s">
        <v>33</v>
      </c>
      <c r="F265" s="4" t="s">
        <v>34</v>
      </c>
      <c r="G265" s="4">
        <v>1</v>
      </c>
      <c r="H265" s="4">
        <v>350</v>
      </c>
      <c r="I265" s="4">
        <v>13925511</v>
      </c>
      <c r="J265" s="4">
        <v>48</v>
      </c>
      <c r="K265" s="4">
        <v>7.2916666666666696</v>
      </c>
      <c r="L265" s="4">
        <v>290114.8125</v>
      </c>
      <c r="M265" s="4">
        <v>39787.174285714304</v>
      </c>
      <c r="N265" s="4" t="s">
        <v>54</v>
      </c>
      <c r="O265" s="4">
        <v>0.25470031225425099</v>
      </c>
      <c r="P265" s="4">
        <v>0.18532603664133501</v>
      </c>
    </row>
    <row r="266" spans="1:16">
      <c r="A266" s="4" t="s">
        <v>570</v>
      </c>
      <c r="B266" s="4" t="s">
        <v>30</v>
      </c>
      <c r="C266" s="4" t="s">
        <v>571</v>
      </c>
      <c r="D266" s="4" t="s">
        <v>41</v>
      </c>
      <c r="E266" s="4" t="s">
        <v>42</v>
      </c>
      <c r="F266" s="4" t="s">
        <v>34</v>
      </c>
      <c r="G266" s="4">
        <v>1</v>
      </c>
      <c r="H266" s="4">
        <v>391</v>
      </c>
      <c r="I266" s="4">
        <v>13922199</v>
      </c>
      <c r="J266" s="4">
        <v>48</v>
      </c>
      <c r="K266" s="4">
        <v>8.1458333333333304</v>
      </c>
      <c r="L266" s="4">
        <v>290045.8125</v>
      </c>
      <c r="M266" s="4">
        <v>35606.647058823502</v>
      </c>
      <c r="N266" s="4" t="s">
        <v>54</v>
      </c>
      <c r="O266" s="4">
        <v>0.21542329627668699</v>
      </c>
      <c r="P266" s="4">
        <v>0.17456607538688501</v>
      </c>
    </row>
    <row r="267" spans="1:16">
      <c r="A267" s="4" t="s">
        <v>572</v>
      </c>
      <c r="B267" s="4" t="s">
        <v>30</v>
      </c>
      <c r="C267" s="4" t="s">
        <v>573</v>
      </c>
      <c r="D267" s="4" t="s">
        <v>41</v>
      </c>
      <c r="E267" s="4" t="s">
        <v>42</v>
      </c>
      <c r="F267" s="4" t="s">
        <v>34</v>
      </c>
      <c r="G267" s="4">
        <v>1</v>
      </c>
      <c r="H267" s="4">
        <v>374</v>
      </c>
      <c r="I267" s="4">
        <v>13915632.5089071</v>
      </c>
      <c r="J267" s="4">
        <v>48</v>
      </c>
      <c r="K267" s="4">
        <v>7.7916666666666696</v>
      </c>
      <c r="L267" s="4">
        <v>289909.01060223102</v>
      </c>
      <c r="M267" s="4">
        <v>37207.573553227499</v>
      </c>
      <c r="N267" s="4" t="s">
        <v>54</v>
      </c>
      <c r="O267" s="4">
        <v>0.40446436806264302</v>
      </c>
      <c r="P267" s="4">
        <v>0.25546554927120602</v>
      </c>
    </row>
    <row r="268" spans="1:16">
      <c r="A268" s="4" t="s">
        <v>574</v>
      </c>
      <c r="B268" s="4" t="s">
        <v>30</v>
      </c>
      <c r="C268" s="4" t="s">
        <v>575</v>
      </c>
      <c r="D268" s="4" t="s">
        <v>41</v>
      </c>
      <c r="E268" s="4" t="s">
        <v>50</v>
      </c>
      <c r="F268" s="4" t="s">
        <v>34</v>
      </c>
      <c r="G268" s="4">
        <v>1</v>
      </c>
      <c r="H268" s="4">
        <v>384</v>
      </c>
      <c r="I268" s="4">
        <v>13911219</v>
      </c>
      <c r="J268" s="4">
        <v>48</v>
      </c>
      <c r="K268" s="4">
        <v>8</v>
      </c>
      <c r="L268" s="4">
        <v>289817.0625</v>
      </c>
      <c r="M268" s="4">
        <v>36227.1328125</v>
      </c>
      <c r="N268" s="4" t="s">
        <v>35</v>
      </c>
      <c r="O268" s="4">
        <v>0.240136108848549</v>
      </c>
      <c r="P268" s="4">
        <v>0.188650576937998</v>
      </c>
    </row>
    <row r="269" spans="1:16">
      <c r="A269" s="4" t="s">
        <v>576</v>
      </c>
      <c r="B269" s="4" t="s">
        <v>30</v>
      </c>
      <c r="C269" s="4" t="s">
        <v>577</v>
      </c>
      <c r="D269" s="4" t="s">
        <v>32</v>
      </c>
      <c r="E269" s="4" t="s">
        <v>33</v>
      </c>
      <c r="F269" s="4" t="s">
        <v>34</v>
      </c>
      <c r="G269" s="4">
        <v>1</v>
      </c>
      <c r="H269" s="4">
        <v>402</v>
      </c>
      <c r="I269" s="4">
        <v>13905998</v>
      </c>
      <c r="J269" s="4">
        <v>48</v>
      </c>
      <c r="K269" s="4">
        <v>8.375</v>
      </c>
      <c r="L269" s="4">
        <v>289708.29166666698</v>
      </c>
      <c r="M269" s="4">
        <v>34592.0348258706</v>
      </c>
      <c r="N269" s="4" t="s">
        <v>54</v>
      </c>
      <c r="O269" s="4">
        <v>0.25352304811204501</v>
      </c>
      <c r="P269" s="4">
        <v>0.17985159316008401</v>
      </c>
    </row>
    <row r="270" spans="1:16">
      <c r="A270" s="4" t="s">
        <v>578</v>
      </c>
      <c r="B270" s="4" t="s">
        <v>30</v>
      </c>
      <c r="C270" s="4" t="s">
        <v>579</v>
      </c>
      <c r="D270" s="4" t="s">
        <v>41</v>
      </c>
      <c r="E270" s="4" t="s">
        <v>50</v>
      </c>
      <c r="F270" s="4" t="s">
        <v>34</v>
      </c>
      <c r="G270" s="4">
        <v>1</v>
      </c>
      <c r="H270" s="4">
        <v>338</v>
      </c>
      <c r="I270" s="4">
        <v>13889587</v>
      </c>
      <c r="J270" s="4">
        <v>48</v>
      </c>
      <c r="K270" s="4">
        <v>7.0416666666666696</v>
      </c>
      <c r="L270" s="4">
        <v>289366.39583333302</v>
      </c>
      <c r="M270" s="4">
        <v>41093.452662721902</v>
      </c>
      <c r="N270" s="4" t="s">
        <v>54</v>
      </c>
      <c r="O270" s="4">
        <v>0.304318263746791</v>
      </c>
      <c r="P270" s="4">
        <v>0.22655223941573399</v>
      </c>
    </row>
    <row r="271" spans="1:16">
      <c r="A271" s="4" t="s">
        <v>580</v>
      </c>
      <c r="B271" s="4" t="s">
        <v>30</v>
      </c>
      <c r="C271" s="4" t="s">
        <v>581</v>
      </c>
      <c r="D271" s="4" t="s">
        <v>41</v>
      </c>
      <c r="E271" s="4" t="s">
        <v>50</v>
      </c>
      <c r="F271" s="4" t="s">
        <v>34</v>
      </c>
      <c r="G271" s="4">
        <v>1</v>
      </c>
      <c r="H271" s="4">
        <v>393</v>
      </c>
      <c r="I271" s="4">
        <v>13871742</v>
      </c>
      <c r="J271" s="4">
        <v>48</v>
      </c>
      <c r="K271" s="4">
        <v>8.1875</v>
      </c>
      <c r="L271" s="4">
        <v>288994.625</v>
      </c>
      <c r="M271" s="4">
        <v>35297.053435114503</v>
      </c>
      <c r="N271" s="4" t="s">
        <v>51</v>
      </c>
      <c r="O271" s="4">
        <v>0.29314530215455298</v>
      </c>
      <c r="P271" s="4">
        <v>0.21793214125885399</v>
      </c>
    </row>
    <row r="272" spans="1:16">
      <c r="A272" s="4" t="s">
        <v>582</v>
      </c>
      <c r="B272" s="4" t="s">
        <v>30</v>
      </c>
      <c r="C272" s="4" t="s">
        <v>583</v>
      </c>
      <c r="D272" s="4" t="s">
        <v>41</v>
      </c>
      <c r="E272" s="4" t="s">
        <v>42</v>
      </c>
      <c r="F272" s="4" t="s">
        <v>34</v>
      </c>
      <c r="G272" s="4">
        <v>1</v>
      </c>
      <c r="H272" s="4">
        <v>405</v>
      </c>
      <c r="I272" s="4">
        <v>13807772</v>
      </c>
      <c r="J272" s="4">
        <v>48</v>
      </c>
      <c r="K272" s="4">
        <v>8.4375</v>
      </c>
      <c r="L272" s="4">
        <v>287661.91666666698</v>
      </c>
      <c r="M272" s="4">
        <v>34093.264197530902</v>
      </c>
      <c r="N272" s="4" t="s">
        <v>54</v>
      </c>
      <c r="O272" s="4">
        <v>0.27574955611955398</v>
      </c>
      <c r="P272" s="4">
        <v>0.196987481963423</v>
      </c>
    </row>
    <row r="273" spans="1:16">
      <c r="A273" s="4" t="s">
        <v>584</v>
      </c>
      <c r="B273" s="4" t="s">
        <v>30</v>
      </c>
      <c r="C273" s="4" t="s">
        <v>585</v>
      </c>
      <c r="D273" s="4" t="s">
        <v>41</v>
      </c>
      <c r="E273" s="4" t="s">
        <v>50</v>
      </c>
      <c r="F273" s="4" t="s">
        <v>34</v>
      </c>
      <c r="G273" s="4">
        <v>1</v>
      </c>
      <c r="H273" s="4">
        <v>381</v>
      </c>
      <c r="I273" s="4">
        <v>13660437</v>
      </c>
      <c r="J273" s="4">
        <v>48</v>
      </c>
      <c r="K273" s="4">
        <v>7.9375</v>
      </c>
      <c r="L273" s="4">
        <v>284592.4375</v>
      </c>
      <c r="M273" s="4">
        <v>35854.165354330697</v>
      </c>
      <c r="N273" s="4" t="s">
        <v>54</v>
      </c>
      <c r="O273" s="4">
        <v>0.25875731501122601</v>
      </c>
      <c r="P273" s="4">
        <v>0.19024056552267901</v>
      </c>
    </row>
    <row r="274" spans="1:16">
      <c r="A274" s="4" t="s">
        <v>586</v>
      </c>
      <c r="B274" s="4" t="s">
        <v>30</v>
      </c>
      <c r="C274" s="4" t="s">
        <v>587</v>
      </c>
      <c r="D274" s="4" t="s">
        <v>41</v>
      </c>
      <c r="E274" s="4" t="s">
        <v>42</v>
      </c>
      <c r="F274" s="4" t="s">
        <v>34</v>
      </c>
      <c r="G274" s="4">
        <v>1</v>
      </c>
      <c r="H274" s="4">
        <v>401</v>
      </c>
      <c r="I274" s="4">
        <v>13647046</v>
      </c>
      <c r="J274" s="4">
        <v>48</v>
      </c>
      <c r="K274" s="4">
        <v>8.3541666666666696</v>
      </c>
      <c r="L274" s="4">
        <v>284313.45833333302</v>
      </c>
      <c r="M274" s="4">
        <v>34032.533665835399</v>
      </c>
      <c r="N274" s="4" t="s">
        <v>54</v>
      </c>
      <c r="O274" s="4">
        <v>0.29229277896476602</v>
      </c>
      <c r="P274" s="4">
        <v>0.199553982983844</v>
      </c>
    </row>
    <row r="275" spans="1:16">
      <c r="A275" s="4" t="s">
        <v>588</v>
      </c>
      <c r="B275" s="4" t="s">
        <v>30</v>
      </c>
      <c r="C275" s="4" t="s">
        <v>589</v>
      </c>
      <c r="D275" s="4" t="s">
        <v>32</v>
      </c>
      <c r="E275" s="4" t="s">
        <v>33</v>
      </c>
      <c r="F275" s="4" t="s">
        <v>34</v>
      </c>
      <c r="G275" s="4">
        <v>1</v>
      </c>
      <c r="H275" s="4">
        <v>348</v>
      </c>
      <c r="I275" s="4">
        <v>13628308</v>
      </c>
      <c r="J275" s="4">
        <v>48</v>
      </c>
      <c r="K275" s="4">
        <v>7.25</v>
      </c>
      <c r="L275" s="4">
        <v>283923.08333333302</v>
      </c>
      <c r="M275" s="4">
        <v>39161.804597701201</v>
      </c>
      <c r="N275" s="4" t="s">
        <v>54</v>
      </c>
      <c r="O275" s="4">
        <v>0.40123418108836401</v>
      </c>
      <c r="P275" s="4">
        <v>0.237180182980719</v>
      </c>
    </row>
    <row r="276" spans="1:16">
      <c r="A276" s="4" t="s">
        <v>590</v>
      </c>
      <c r="B276" s="4" t="s">
        <v>30</v>
      </c>
      <c r="C276" s="4" t="s">
        <v>591</v>
      </c>
      <c r="D276" s="4" t="s">
        <v>41</v>
      </c>
      <c r="E276" s="4" t="s">
        <v>50</v>
      </c>
      <c r="F276" s="4" t="s">
        <v>34</v>
      </c>
      <c r="G276" s="4">
        <v>1</v>
      </c>
      <c r="H276" s="4">
        <v>380</v>
      </c>
      <c r="I276" s="4">
        <v>13625131</v>
      </c>
      <c r="J276" s="4">
        <v>48</v>
      </c>
      <c r="K276" s="4">
        <v>7.9166666666666696</v>
      </c>
      <c r="L276" s="4">
        <v>283856.89583333302</v>
      </c>
      <c r="M276" s="4">
        <v>35855.607894736801</v>
      </c>
      <c r="N276" s="4" t="s">
        <v>51</v>
      </c>
      <c r="O276" s="4">
        <v>0.30851556583199102</v>
      </c>
      <c r="P276" s="4">
        <v>0.19842996496238</v>
      </c>
    </row>
    <row r="277" spans="1:16">
      <c r="A277" s="4" t="s">
        <v>592</v>
      </c>
      <c r="B277" s="4" t="s">
        <v>30</v>
      </c>
      <c r="C277" s="4" t="s">
        <v>593</v>
      </c>
      <c r="D277" s="4" t="s">
        <v>41</v>
      </c>
      <c r="E277" s="4" t="s">
        <v>42</v>
      </c>
      <c r="F277" s="4" t="s">
        <v>34</v>
      </c>
      <c r="G277" s="4">
        <v>1</v>
      </c>
      <c r="H277" s="4">
        <v>365</v>
      </c>
      <c r="I277" s="4">
        <v>13618070</v>
      </c>
      <c r="J277" s="4">
        <v>48</v>
      </c>
      <c r="K277" s="4">
        <v>7.6041666666666696</v>
      </c>
      <c r="L277" s="4">
        <v>283709.79166666698</v>
      </c>
      <c r="M277" s="4">
        <v>37309.780821917797</v>
      </c>
      <c r="N277" s="4" t="s">
        <v>68</v>
      </c>
      <c r="O277" s="4">
        <v>0.25952583589304501</v>
      </c>
      <c r="P277" s="4">
        <v>0.185547985112996</v>
      </c>
    </row>
    <row r="278" spans="1:16">
      <c r="A278" s="4" t="s">
        <v>594</v>
      </c>
      <c r="B278" s="4" t="s">
        <v>30</v>
      </c>
      <c r="C278" s="4" t="s">
        <v>595</v>
      </c>
      <c r="D278" s="4" t="s">
        <v>32</v>
      </c>
      <c r="E278" s="4" t="s">
        <v>33</v>
      </c>
      <c r="F278" s="4" t="s">
        <v>34</v>
      </c>
      <c r="G278" s="4">
        <v>1</v>
      </c>
      <c r="H278" s="4">
        <v>387</v>
      </c>
      <c r="I278" s="4">
        <v>13605696</v>
      </c>
      <c r="J278" s="4">
        <v>48</v>
      </c>
      <c r="K278" s="4">
        <v>8.0625</v>
      </c>
      <c r="L278" s="4">
        <v>283452</v>
      </c>
      <c r="M278" s="4">
        <v>35156.837209302299</v>
      </c>
      <c r="N278" s="4" t="s">
        <v>35</v>
      </c>
      <c r="O278" s="4">
        <v>0.394055842494202</v>
      </c>
      <c r="P278" s="4">
        <v>0.23740142683193399</v>
      </c>
    </row>
    <row r="279" spans="1:16">
      <c r="A279" s="4" t="s">
        <v>596</v>
      </c>
      <c r="B279" s="4" t="s">
        <v>30</v>
      </c>
      <c r="C279" s="4" t="s">
        <v>597</v>
      </c>
      <c r="D279" s="4" t="s">
        <v>32</v>
      </c>
      <c r="E279" s="4" t="s">
        <v>33</v>
      </c>
      <c r="F279" s="4" t="s">
        <v>34</v>
      </c>
      <c r="G279" s="4">
        <v>1</v>
      </c>
      <c r="H279" s="4">
        <v>373</v>
      </c>
      <c r="I279" s="4">
        <v>13589800</v>
      </c>
      <c r="J279" s="4">
        <v>48</v>
      </c>
      <c r="K279" s="4">
        <v>7.7708333333333304</v>
      </c>
      <c r="L279" s="4">
        <v>283120.83333333302</v>
      </c>
      <c r="M279" s="4">
        <v>36433.780160857903</v>
      </c>
      <c r="N279" s="4" t="s">
        <v>68</v>
      </c>
      <c r="O279" s="4">
        <v>0.26076211570442498</v>
      </c>
      <c r="P279" s="4">
        <v>0.19240803940987999</v>
      </c>
    </row>
    <row r="280" spans="1:16">
      <c r="A280" s="4" t="s">
        <v>598</v>
      </c>
      <c r="B280" s="4" t="s">
        <v>30</v>
      </c>
      <c r="C280" s="4" t="s">
        <v>599</v>
      </c>
      <c r="D280" s="4" t="s">
        <v>32</v>
      </c>
      <c r="E280" s="4" t="s">
        <v>67</v>
      </c>
      <c r="F280" s="4" t="s">
        <v>34</v>
      </c>
      <c r="G280" s="4">
        <v>1</v>
      </c>
      <c r="H280" s="4">
        <v>392</v>
      </c>
      <c r="I280" s="4">
        <v>13539952</v>
      </c>
      <c r="J280" s="4">
        <v>48</v>
      </c>
      <c r="K280" s="4">
        <v>8.1666666666666696</v>
      </c>
      <c r="L280" s="4">
        <v>282082.33333333302</v>
      </c>
      <c r="M280" s="4">
        <v>34540.693877550999</v>
      </c>
      <c r="N280" s="4" t="s">
        <v>68</v>
      </c>
      <c r="O280" s="4">
        <v>0.33449047677569299</v>
      </c>
      <c r="P280" s="4">
        <v>0.211422901948915</v>
      </c>
    </row>
    <row r="281" spans="1:16">
      <c r="A281" s="4" t="s">
        <v>600</v>
      </c>
      <c r="B281" s="4" t="s">
        <v>30</v>
      </c>
      <c r="C281" s="4" t="s">
        <v>601</v>
      </c>
      <c r="D281" s="4" t="s">
        <v>41</v>
      </c>
      <c r="E281" s="4" t="s">
        <v>42</v>
      </c>
      <c r="F281" s="4" t="s">
        <v>34</v>
      </c>
      <c r="G281" s="4">
        <v>1</v>
      </c>
      <c r="H281" s="4">
        <v>372</v>
      </c>
      <c r="I281" s="4">
        <v>13536070</v>
      </c>
      <c r="J281" s="4">
        <v>47</v>
      </c>
      <c r="K281" s="4">
        <v>7.9148936170212796</v>
      </c>
      <c r="L281" s="4">
        <v>288001.489361702</v>
      </c>
      <c r="M281" s="4">
        <v>36387.284946236599</v>
      </c>
      <c r="N281" s="4" t="s">
        <v>51</v>
      </c>
      <c r="O281" s="4">
        <v>0.39095941436473097</v>
      </c>
      <c r="P281" s="4">
        <v>0.25059598234842201</v>
      </c>
    </row>
    <row r="282" spans="1:16">
      <c r="A282" s="4" t="s">
        <v>602</v>
      </c>
      <c r="B282" s="4" t="s">
        <v>30</v>
      </c>
      <c r="C282" s="4" t="s">
        <v>603</v>
      </c>
      <c r="D282" s="4" t="s">
        <v>32</v>
      </c>
      <c r="E282" s="4" t="s">
        <v>33</v>
      </c>
      <c r="F282" s="4" t="s">
        <v>34</v>
      </c>
      <c r="G282" s="4">
        <v>1</v>
      </c>
      <c r="H282" s="4">
        <v>393</v>
      </c>
      <c r="I282" s="4">
        <v>13525280</v>
      </c>
      <c r="J282" s="4">
        <v>48</v>
      </c>
      <c r="K282" s="4">
        <v>8.1875</v>
      </c>
      <c r="L282" s="4">
        <v>281776.66666666698</v>
      </c>
      <c r="M282" s="4">
        <v>34415.4707379135</v>
      </c>
      <c r="N282" s="4" t="s">
        <v>38</v>
      </c>
      <c r="O282" s="4">
        <v>0.25030505837956801</v>
      </c>
      <c r="P282" s="4">
        <v>0.18788417739596799</v>
      </c>
    </row>
    <row r="283" spans="1:16">
      <c r="A283" s="4" t="s">
        <v>604</v>
      </c>
      <c r="B283" s="4" t="s">
        <v>30</v>
      </c>
      <c r="C283" s="4" t="s">
        <v>605</v>
      </c>
      <c r="D283" s="4" t="s">
        <v>41</v>
      </c>
      <c r="E283" s="4" t="s">
        <v>50</v>
      </c>
      <c r="F283" s="4" t="s">
        <v>34</v>
      </c>
      <c r="G283" s="4">
        <v>1</v>
      </c>
      <c r="H283" s="4">
        <v>377</v>
      </c>
      <c r="I283" s="4">
        <v>13511491</v>
      </c>
      <c r="J283" s="4">
        <v>48</v>
      </c>
      <c r="K283" s="4">
        <v>7.8541666666666696</v>
      </c>
      <c r="L283" s="4">
        <v>281489.39583333302</v>
      </c>
      <c r="M283" s="4">
        <v>35839.498673740098</v>
      </c>
      <c r="N283" s="4" t="s">
        <v>54</v>
      </c>
      <c r="O283" s="4">
        <v>0.27630666371313101</v>
      </c>
      <c r="P283" s="4">
        <v>0.191555805233843</v>
      </c>
    </row>
    <row r="284" spans="1:16">
      <c r="A284" s="4" t="s">
        <v>606</v>
      </c>
      <c r="B284" s="4" t="s">
        <v>30</v>
      </c>
      <c r="C284" s="4" t="s">
        <v>607</v>
      </c>
      <c r="D284" s="4" t="s">
        <v>32</v>
      </c>
      <c r="E284" s="4" t="s">
        <v>33</v>
      </c>
      <c r="F284" s="4" t="s">
        <v>34</v>
      </c>
      <c r="G284" s="4">
        <v>1</v>
      </c>
      <c r="H284" s="4">
        <v>409</v>
      </c>
      <c r="I284" s="4">
        <v>13490977</v>
      </c>
      <c r="J284" s="4">
        <v>48</v>
      </c>
      <c r="K284" s="4">
        <v>8.5208333333333304</v>
      </c>
      <c r="L284" s="4">
        <v>281062.02083333302</v>
      </c>
      <c r="M284" s="4">
        <v>32985.273838630797</v>
      </c>
      <c r="N284" s="4" t="s">
        <v>68</v>
      </c>
      <c r="O284" s="4">
        <v>0.27121734771321598</v>
      </c>
      <c r="P284" s="4">
        <v>0.19372666435775801</v>
      </c>
    </row>
    <row r="285" spans="1:16">
      <c r="A285" s="4" t="s">
        <v>608</v>
      </c>
      <c r="B285" s="4" t="s">
        <v>30</v>
      </c>
      <c r="C285" s="4" t="s">
        <v>609</v>
      </c>
      <c r="D285" s="4" t="s">
        <v>41</v>
      </c>
      <c r="E285" s="4" t="s">
        <v>42</v>
      </c>
      <c r="F285" s="4" t="s">
        <v>34</v>
      </c>
      <c r="G285" s="4">
        <v>1</v>
      </c>
      <c r="H285" s="4">
        <v>373</v>
      </c>
      <c r="I285" s="4">
        <v>13474719.3610224</v>
      </c>
      <c r="J285" s="4">
        <v>48</v>
      </c>
      <c r="K285" s="4">
        <v>7.7708333333333304</v>
      </c>
      <c r="L285" s="4">
        <v>280723.32002129901</v>
      </c>
      <c r="M285" s="4">
        <v>36125.252978612203</v>
      </c>
      <c r="N285" s="4" t="s">
        <v>51</v>
      </c>
      <c r="O285" s="4">
        <v>0.29235369542428102</v>
      </c>
      <c r="P285" s="4">
        <v>0.19170038310381601</v>
      </c>
    </row>
    <row r="286" spans="1:16">
      <c r="A286" s="4" t="s">
        <v>610</v>
      </c>
      <c r="B286" s="4" t="s">
        <v>30</v>
      </c>
      <c r="C286" s="4" t="s">
        <v>611</v>
      </c>
      <c r="D286" s="4" t="s">
        <v>32</v>
      </c>
      <c r="E286" s="4" t="s">
        <v>67</v>
      </c>
      <c r="F286" s="4" t="s">
        <v>34</v>
      </c>
      <c r="G286" s="4">
        <v>1</v>
      </c>
      <c r="H286" s="4">
        <v>381</v>
      </c>
      <c r="I286" s="4">
        <v>13453890</v>
      </c>
      <c r="J286" s="4">
        <v>48</v>
      </c>
      <c r="K286" s="4">
        <v>7.9375</v>
      </c>
      <c r="L286" s="4">
        <v>280289.375</v>
      </c>
      <c r="M286" s="4">
        <v>35312.047244094501</v>
      </c>
      <c r="N286" s="4" t="s">
        <v>51</v>
      </c>
      <c r="O286" s="4">
        <v>0.28775766711337802</v>
      </c>
      <c r="P286" s="4">
        <v>0.194967063073235</v>
      </c>
    </row>
    <row r="287" spans="1:16">
      <c r="A287" s="4" t="s">
        <v>612</v>
      </c>
      <c r="B287" s="4" t="s">
        <v>30</v>
      </c>
      <c r="C287" s="4" t="s">
        <v>613</v>
      </c>
      <c r="D287" s="4" t="s">
        <v>32</v>
      </c>
      <c r="E287" s="4" t="s">
        <v>33</v>
      </c>
      <c r="F287" s="4" t="s">
        <v>34</v>
      </c>
      <c r="G287" s="4">
        <v>1</v>
      </c>
      <c r="H287" s="4">
        <v>351</v>
      </c>
      <c r="I287" s="4">
        <v>13453584</v>
      </c>
      <c r="J287" s="4">
        <v>48</v>
      </c>
      <c r="K287" s="4">
        <v>7.3125</v>
      </c>
      <c r="L287" s="4">
        <v>280283</v>
      </c>
      <c r="M287" s="4">
        <v>38329.299145299199</v>
      </c>
      <c r="N287" s="4" t="s">
        <v>51</v>
      </c>
      <c r="O287" s="4">
        <v>0.222052874535142</v>
      </c>
      <c r="P287" s="4">
        <v>0.17956572132684401</v>
      </c>
    </row>
    <row r="288" spans="1:16">
      <c r="A288" s="4" t="s">
        <v>614</v>
      </c>
      <c r="B288" s="4" t="s">
        <v>30</v>
      </c>
      <c r="C288" s="4" t="s">
        <v>615</v>
      </c>
      <c r="D288" s="4" t="s">
        <v>41</v>
      </c>
      <c r="E288" s="4" t="s">
        <v>42</v>
      </c>
      <c r="F288" s="4" t="s">
        <v>34</v>
      </c>
      <c r="G288" s="4">
        <v>1</v>
      </c>
      <c r="H288" s="4">
        <v>397</v>
      </c>
      <c r="I288" s="4">
        <v>13411245</v>
      </c>
      <c r="J288" s="4">
        <v>48</v>
      </c>
      <c r="K288" s="4">
        <v>8.2708333333333304</v>
      </c>
      <c r="L288" s="4">
        <v>279400.9375</v>
      </c>
      <c r="M288" s="4">
        <v>33781.473551637297</v>
      </c>
      <c r="N288" s="4" t="s">
        <v>68</v>
      </c>
      <c r="O288" s="4">
        <v>0.25176626032855298</v>
      </c>
      <c r="P288" s="4">
        <v>0.18234171964015899</v>
      </c>
    </row>
    <row r="289" spans="1:16">
      <c r="A289" s="4" t="s">
        <v>616</v>
      </c>
      <c r="B289" s="4" t="s">
        <v>30</v>
      </c>
      <c r="C289" s="4" t="s">
        <v>617</v>
      </c>
      <c r="D289" s="4" t="s">
        <v>32</v>
      </c>
      <c r="E289" s="4" t="s">
        <v>67</v>
      </c>
      <c r="F289" s="4" t="s">
        <v>34</v>
      </c>
      <c r="G289" s="4">
        <v>1</v>
      </c>
      <c r="H289" s="4">
        <v>358</v>
      </c>
      <c r="I289" s="4">
        <v>13354207</v>
      </c>
      <c r="J289" s="4">
        <v>48</v>
      </c>
      <c r="K289" s="4">
        <v>7.4583333333333304</v>
      </c>
      <c r="L289" s="4">
        <v>278212.64583333302</v>
      </c>
      <c r="M289" s="4">
        <v>37302.254189944098</v>
      </c>
      <c r="N289" s="4" t="s">
        <v>51</v>
      </c>
      <c r="O289" s="4">
        <v>0.29765923203077499</v>
      </c>
      <c r="P289" s="4">
        <v>0.19287524626618599</v>
      </c>
    </row>
    <row r="290" spans="1:16">
      <c r="A290" s="4" t="s">
        <v>618</v>
      </c>
      <c r="B290" s="4" t="s">
        <v>30</v>
      </c>
      <c r="C290" s="4" t="s">
        <v>619</v>
      </c>
      <c r="D290" s="4" t="s">
        <v>41</v>
      </c>
      <c r="E290" s="4" t="s">
        <v>50</v>
      </c>
      <c r="F290" s="4" t="s">
        <v>34</v>
      </c>
      <c r="G290" s="4">
        <v>1</v>
      </c>
      <c r="H290" s="4">
        <v>388</v>
      </c>
      <c r="I290" s="4">
        <v>13323467</v>
      </c>
      <c r="J290" s="4">
        <v>48</v>
      </c>
      <c r="K290" s="4">
        <v>8.0833333333333304</v>
      </c>
      <c r="L290" s="4">
        <v>277572.22916666698</v>
      </c>
      <c r="M290" s="4">
        <v>34338.832474226801</v>
      </c>
      <c r="N290" s="4" t="s">
        <v>54</v>
      </c>
      <c r="O290" s="4">
        <v>0.2413803404174</v>
      </c>
      <c r="P290" s="4">
        <v>0.17614678164613401</v>
      </c>
    </row>
    <row r="291" spans="1:16">
      <c r="A291" s="4" t="s">
        <v>620</v>
      </c>
      <c r="B291" s="4" t="s">
        <v>30</v>
      </c>
      <c r="C291" s="4" t="s">
        <v>621</v>
      </c>
      <c r="D291" s="4" t="s">
        <v>32</v>
      </c>
      <c r="E291" s="4" t="s">
        <v>33</v>
      </c>
      <c r="F291" s="4" t="s">
        <v>34</v>
      </c>
      <c r="G291" s="4">
        <v>1</v>
      </c>
      <c r="H291" s="4">
        <v>371</v>
      </c>
      <c r="I291" s="4">
        <v>13297454</v>
      </c>
      <c r="J291" s="4">
        <v>48</v>
      </c>
      <c r="K291" s="4">
        <v>7.7291666666666696</v>
      </c>
      <c r="L291" s="4">
        <v>277030.29166666698</v>
      </c>
      <c r="M291" s="4">
        <v>35842.194070080899</v>
      </c>
      <c r="N291" s="4" t="s">
        <v>68</v>
      </c>
      <c r="O291" s="4">
        <v>0.28031381044822601</v>
      </c>
      <c r="P291" s="4">
        <v>0.18923117882628701</v>
      </c>
    </row>
    <row r="292" spans="1:16">
      <c r="A292" s="4" t="s">
        <v>622</v>
      </c>
      <c r="B292" s="4" t="s">
        <v>30</v>
      </c>
      <c r="C292" s="4" t="s">
        <v>623</v>
      </c>
      <c r="D292" s="4" t="s">
        <v>32</v>
      </c>
      <c r="E292" s="4" t="s">
        <v>33</v>
      </c>
      <c r="F292" s="4" t="s">
        <v>34</v>
      </c>
      <c r="G292" s="4">
        <v>1</v>
      </c>
      <c r="H292" s="4">
        <v>346</v>
      </c>
      <c r="I292" s="4">
        <v>13243526</v>
      </c>
      <c r="J292" s="4">
        <v>48</v>
      </c>
      <c r="K292" s="4">
        <v>7.2083333333333304</v>
      </c>
      <c r="L292" s="4">
        <v>275906.79166666698</v>
      </c>
      <c r="M292" s="4">
        <v>38276.086705202302</v>
      </c>
      <c r="N292" s="4" t="s">
        <v>54</v>
      </c>
      <c r="O292" s="4">
        <v>0.266148305217206</v>
      </c>
      <c r="P292" s="4">
        <v>0.18032101316782301</v>
      </c>
    </row>
    <row r="293" spans="1:16">
      <c r="A293" s="4" t="s">
        <v>624</v>
      </c>
      <c r="B293" s="4" t="s">
        <v>30</v>
      </c>
      <c r="C293" s="4" t="s">
        <v>625</v>
      </c>
      <c r="D293" s="4" t="s">
        <v>41</v>
      </c>
      <c r="E293" s="4" t="s">
        <v>42</v>
      </c>
      <c r="F293" s="4" t="s">
        <v>34</v>
      </c>
      <c r="G293" s="4">
        <v>1</v>
      </c>
      <c r="H293" s="4">
        <v>361</v>
      </c>
      <c r="I293" s="4">
        <v>13231664</v>
      </c>
      <c r="J293" s="4">
        <v>48</v>
      </c>
      <c r="K293" s="4">
        <v>7.5208333333333304</v>
      </c>
      <c r="L293" s="4">
        <v>275659.66666666698</v>
      </c>
      <c r="M293" s="4">
        <v>36652.808864265899</v>
      </c>
      <c r="N293" s="4" t="s">
        <v>54</v>
      </c>
      <c r="O293" s="4">
        <v>0.34561730104392002</v>
      </c>
      <c r="P293" s="4">
        <v>0.21667689438249399</v>
      </c>
    </row>
    <row r="294" spans="1:16">
      <c r="A294" s="4" t="s">
        <v>626</v>
      </c>
      <c r="B294" s="4" t="s">
        <v>30</v>
      </c>
      <c r="C294" s="4" t="s">
        <v>627</v>
      </c>
      <c r="D294" s="4" t="s">
        <v>32</v>
      </c>
      <c r="E294" s="4" t="s">
        <v>67</v>
      </c>
      <c r="F294" s="4" t="s">
        <v>34</v>
      </c>
      <c r="G294" s="4">
        <v>1</v>
      </c>
      <c r="H294" s="4">
        <v>380</v>
      </c>
      <c r="I294" s="4">
        <v>13188028</v>
      </c>
      <c r="J294" s="4">
        <v>48</v>
      </c>
      <c r="K294" s="4">
        <v>7.9166666666666696</v>
      </c>
      <c r="L294" s="4">
        <v>274750.58333333302</v>
      </c>
      <c r="M294" s="4">
        <v>34705.336842105302</v>
      </c>
      <c r="N294" s="4" t="s">
        <v>47</v>
      </c>
      <c r="O294" s="4">
        <v>0.266665721364862</v>
      </c>
      <c r="P294" s="4">
        <v>0.19378689796097701</v>
      </c>
    </row>
    <row r="295" spans="1:16">
      <c r="A295" s="4" t="s">
        <v>628</v>
      </c>
      <c r="B295" s="4" t="s">
        <v>30</v>
      </c>
      <c r="C295" s="4" t="s">
        <v>629</v>
      </c>
      <c r="D295" s="4" t="s">
        <v>32</v>
      </c>
      <c r="E295" s="4" t="s">
        <v>67</v>
      </c>
      <c r="F295" s="4" t="s">
        <v>34</v>
      </c>
      <c r="G295" s="4">
        <v>1</v>
      </c>
      <c r="H295" s="4">
        <v>352</v>
      </c>
      <c r="I295" s="4">
        <v>13173562</v>
      </c>
      <c r="J295" s="4">
        <v>48</v>
      </c>
      <c r="K295" s="4">
        <v>7.3333333333333304</v>
      </c>
      <c r="L295" s="4">
        <v>274449.20833333302</v>
      </c>
      <c r="M295" s="4">
        <v>37424.8920454545</v>
      </c>
      <c r="N295" s="4" t="s">
        <v>54</v>
      </c>
      <c r="O295" s="4">
        <v>0.338231451751622</v>
      </c>
      <c r="P295" s="4">
        <v>0.20738958182252401</v>
      </c>
    </row>
    <row r="296" spans="1:16">
      <c r="A296" s="4" t="s">
        <v>630</v>
      </c>
      <c r="B296" s="4" t="s">
        <v>30</v>
      </c>
      <c r="C296" s="4" t="s">
        <v>631</v>
      </c>
      <c r="D296" s="4" t="s">
        <v>32</v>
      </c>
      <c r="E296" s="4" t="s">
        <v>67</v>
      </c>
      <c r="F296" s="4" t="s">
        <v>34</v>
      </c>
      <c r="G296" s="4">
        <v>1</v>
      </c>
      <c r="H296" s="4">
        <v>376</v>
      </c>
      <c r="I296" s="4">
        <v>13172559</v>
      </c>
      <c r="J296" s="4">
        <v>48</v>
      </c>
      <c r="K296" s="4">
        <v>7.8333333333333304</v>
      </c>
      <c r="L296" s="4">
        <v>274428.3125</v>
      </c>
      <c r="M296" s="4">
        <v>35033.401595744697</v>
      </c>
      <c r="N296" s="4" t="s">
        <v>51</v>
      </c>
      <c r="O296" s="4">
        <v>0.25299936026097902</v>
      </c>
      <c r="P296" s="4">
        <v>0.18193501229717801</v>
      </c>
    </row>
    <row r="297" spans="1:16">
      <c r="A297" s="4" t="s">
        <v>632</v>
      </c>
      <c r="B297" s="4" t="s">
        <v>30</v>
      </c>
      <c r="C297" s="4" t="s">
        <v>633</v>
      </c>
      <c r="D297" s="4" t="s">
        <v>41</v>
      </c>
      <c r="E297" s="4" t="s">
        <v>42</v>
      </c>
      <c r="F297" s="4" t="s">
        <v>34</v>
      </c>
      <c r="G297" s="4">
        <v>1</v>
      </c>
      <c r="H297" s="4">
        <v>405</v>
      </c>
      <c r="I297" s="4">
        <v>13148370.257525099</v>
      </c>
      <c r="J297" s="4">
        <v>48</v>
      </c>
      <c r="K297" s="4">
        <v>8.4375</v>
      </c>
      <c r="L297" s="4">
        <v>273924.38036510599</v>
      </c>
      <c r="M297" s="4">
        <v>32465.111746975501</v>
      </c>
      <c r="N297" s="4" t="s">
        <v>47</v>
      </c>
      <c r="O297" s="4">
        <v>0.21789635855138101</v>
      </c>
      <c r="P297" s="4">
        <v>0.17410210698647</v>
      </c>
    </row>
    <row r="298" spans="1:16">
      <c r="A298" s="4" t="s">
        <v>634</v>
      </c>
      <c r="B298" s="4" t="s">
        <v>30</v>
      </c>
      <c r="C298" s="4" t="s">
        <v>635</v>
      </c>
      <c r="D298" s="4" t="s">
        <v>41</v>
      </c>
      <c r="E298" s="4" t="s">
        <v>50</v>
      </c>
      <c r="F298" s="4" t="s">
        <v>34</v>
      </c>
      <c r="G298" s="4">
        <v>1</v>
      </c>
      <c r="H298" s="4">
        <v>358</v>
      </c>
      <c r="I298" s="4">
        <v>13129692.527638201</v>
      </c>
      <c r="J298" s="4">
        <v>48</v>
      </c>
      <c r="K298" s="4">
        <v>7.4583333333333304</v>
      </c>
      <c r="L298" s="4">
        <v>273535.26099246199</v>
      </c>
      <c r="M298" s="4">
        <v>36675.118792285502</v>
      </c>
      <c r="N298" s="4" t="s">
        <v>47</v>
      </c>
      <c r="O298" s="4">
        <v>0.29287052929119201</v>
      </c>
      <c r="P298" s="4">
        <v>0.19978472482926901</v>
      </c>
    </row>
    <row r="299" spans="1:16">
      <c r="A299" s="4" t="s">
        <v>636</v>
      </c>
      <c r="B299" s="4" t="s">
        <v>30</v>
      </c>
      <c r="C299" s="4" t="s">
        <v>637</v>
      </c>
      <c r="D299" s="4" t="s">
        <v>32</v>
      </c>
      <c r="E299" s="4" t="s">
        <v>67</v>
      </c>
      <c r="F299" s="4" t="s">
        <v>34</v>
      </c>
      <c r="G299" s="4">
        <v>1</v>
      </c>
      <c r="H299" s="4">
        <v>400</v>
      </c>
      <c r="I299" s="4">
        <v>13020611</v>
      </c>
      <c r="J299" s="4">
        <v>48</v>
      </c>
      <c r="K299" s="4">
        <v>8.3333333333333304</v>
      </c>
      <c r="L299" s="4">
        <v>271262.72916666698</v>
      </c>
      <c r="M299" s="4">
        <v>32551.5275</v>
      </c>
      <c r="N299" s="4" t="s">
        <v>51</v>
      </c>
      <c r="O299" s="4">
        <v>0.24500493870832901</v>
      </c>
      <c r="P299" s="4">
        <v>0.19046125562552901</v>
      </c>
    </row>
    <row r="300" spans="1:16">
      <c r="A300" s="4" t="s">
        <v>638</v>
      </c>
      <c r="B300" s="4" t="s">
        <v>30</v>
      </c>
      <c r="C300" s="4" t="s">
        <v>639</v>
      </c>
      <c r="D300" s="4" t="s">
        <v>32</v>
      </c>
      <c r="E300" s="4" t="s">
        <v>67</v>
      </c>
      <c r="F300" s="4" t="s">
        <v>34</v>
      </c>
      <c r="G300" s="4">
        <v>1</v>
      </c>
      <c r="H300" s="4">
        <v>391</v>
      </c>
      <c r="I300" s="4">
        <v>13016333</v>
      </c>
      <c r="J300" s="4">
        <v>48</v>
      </c>
      <c r="K300" s="4">
        <v>8.1458333333333304</v>
      </c>
      <c r="L300" s="4">
        <v>271173.60416666698</v>
      </c>
      <c r="M300" s="4">
        <v>33289.854219948902</v>
      </c>
      <c r="N300" s="4" t="s">
        <v>54</v>
      </c>
      <c r="O300" s="4">
        <v>0.27965987041050699</v>
      </c>
      <c r="P300" s="4">
        <v>0.187921922375693</v>
      </c>
    </row>
    <row r="301" spans="1:16">
      <c r="A301" s="4" t="s">
        <v>640</v>
      </c>
      <c r="B301" s="4" t="s">
        <v>30</v>
      </c>
      <c r="C301" s="4" t="s">
        <v>641</v>
      </c>
      <c r="D301" s="4" t="s">
        <v>41</v>
      </c>
      <c r="E301" s="4" t="s">
        <v>42</v>
      </c>
      <c r="F301" s="4" t="s">
        <v>34</v>
      </c>
      <c r="G301" s="4">
        <v>1</v>
      </c>
      <c r="H301" s="4">
        <v>407</v>
      </c>
      <c r="I301" s="4">
        <v>13001329</v>
      </c>
      <c r="J301" s="4">
        <v>48</v>
      </c>
      <c r="K301" s="4">
        <v>8.4791666666666696</v>
      </c>
      <c r="L301" s="4">
        <v>270861.02083333302</v>
      </c>
      <c r="M301" s="4">
        <v>31944.2972972973</v>
      </c>
      <c r="N301" s="4" t="s">
        <v>54</v>
      </c>
      <c r="O301" s="4">
        <v>0.26926762640957702</v>
      </c>
      <c r="P301" s="4">
        <v>0.195931811799712</v>
      </c>
    </row>
    <row r="302" spans="1:16">
      <c r="A302" s="4" t="s">
        <v>642</v>
      </c>
      <c r="B302" s="4" t="s">
        <v>30</v>
      </c>
      <c r="C302" s="4" t="s">
        <v>643</v>
      </c>
      <c r="D302" s="4" t="s">
        <v>32</v>
      </c>
      <c r="E302" s="4" t="s">
        <v>33</v>
      </c>
      <c r="F302" s="4" t="s">
        <v>34</v>
      </c>
      <c r="G302" s="4">
        <v>1</v>
      </c>
      <c r="H302" s="4">
        <v>385</v>
      </c>
      <c r="I302" s="4">
        <v>12992274</v>
      </c>
      <c r="J302" s="4">
        <v>48</v>
      </c>
      <c r="K302" s="4">
        <v>8.0208333333333304</v>
      </c>
      <c r="L302" s="4">
        <v>270672.375</v>
      </c>
      <c r="M302" s="4">
        <v>33746.166233766198</v>
      </c>
      <c r="N302" s="4" t="s">
        <v>47</v>
      </c>
      <c r="O302" s="4">
        <v>0.32356345009349402</v>
      </c>
      <c r="P302" s="4">
        <v>0.202441654806963</v>
      </c>
    </row>
    <row r="303" spans="1:16">
      <c r="A303" s="4" t="s">
        <v>644</v>
      </c>
      <c r="B303" s="4" t="s">
        <v>30</v>
      </c>
      <c r="C303" s="4" t="s">
        <v>645</v>
      </c>
      <c r="D303" s="4" t="s">
        <v>32</v>
      </c>
      <c r="E303" s="4" t="s">
        <v>33</v>
      </c>
      <c r="F303" s="4" t="s">
        <v>34</v>
      </c>
      <c r="G303" s="4">
        <v>1</v>
      </c>
      <c r="H303" s="4">
        <v>381</v>
      </c>
      <c r="I303" s="4">
        <v>12960048</v>
      </c>
      <c r="J303" s="4">
        <v>48</v>
      </c>
      <c r="K303" s="4">
        <v>7.9375</v>
      </c>
      <c r="L303" s="4">
        <v>270001</v>
      </c>
      <c r="M303" s="4">
        <v>34015.874015747999</v>
      </c>
      <c r="N303" s="4" t="s">
        <v>54</v>
      </c>
      <c r="O303" s="4">
        <v>0.21354141589599099</v>
      </c>
      <c r="P303" s="4">
        <v>0.17271280885190299</v>
      </c>
    </row>
    <row r="304" spans="1:16">
      <c r="A304" s="4" t="s">
        <v>646</v>
      </c>
      <c r="B304" s="4" t="s">
        <v>30</v>
      </c>
      <c r="C304" s="4" t="s">
        <v>647</v>
      </c>
      <c r="D304" s="4" t="s">
        <v>32</v>
      </c>
      <c r="E304" s="4" t="s">
        <v>67</v>
      </c>
      <c r="F304" s="4" t="s">
        <v>34</v>
      </c>
      <c r="G304" s="4">
        <v>1</v>
      </c>
      <c r="H304" s="4">
        <v>402</v>
      </c>
      <c r="I304" s="4">
        <v>12872896.110552801</v>
      </c>
      <c r="J304" s="4">
        <v>48</v>
      </c>
      <c r="K304" s="4">
        <v>8.375</v>
      </c>
      <c r="L304" s="4">
        <v>268185.33563651599</v>
      </c>
      <c r="M304" s="4">
        <v>32022.129628240698</v>
      </c>
      <c r="N304" s="4" t="s">
        <v>51</v>
      </c>
      <c r="O304" s="4">
        <v>0.231375517554154</v>
      </c>
      <c r="P304" s="4">
        <v>0.176196739736006</v>
      </c>
    </row>
    <row r="305" spans="1:16">
      <c r="A305" s="4" t="s">
        <v>648</v>
      </c>
      <c r="B305" s="4" t="s">
        <v>30</v>
      </c>
      <c r="C305" s="4" t="s">
        <v>649</v>
      </c>
      <c r="D305" s="4" t="s">
        <v>41</v>
      </c>
      <c r="E305" s="4" t="s">
        <v>50</v>
      </c>
      <c r="F305" s="4" t="s">
        <v>34</v>
      </c>
      <c r="G305" s="4">
        <v>1</v>
      </c>
      <c r="H305" s="4">
        <v>394</v>
      </c>
      <c r="I305" s="4">
        <v>12833771</v>
      </c>
      <c r="J305" s="4">
        <v>48</v>
      </c>
      <c r="K305" s="4">
        <v>8.2083333333333304</v>
      </c>
      <c r="L305" s="4">
        <v>267370.22916666698</v>
      </c>
      <c r="M305" s="4">
        <v>32573.022842639599</v>
      </c>
      <c r="N305" s="4" t="s">
        <v>35</v>
      </c>
      <c r="O305" s="4">
        <v>0.24246700365777099</v>
      </c>
      <c r="P305" s="4">
        <v>0.193175216284419</v>
      </c>
    </row>
    <row r="306" spans="1:16">
      <c r="A306" s="4" t="s">
        <v>650</v>
      </c>
      <c r="B306" s="4" t="s">
        <v>30</v>
      </c>
      <c r="C306" s="4" t="s">
        <v>651</v>
      </c>
      <c r="D306" s="4" t="s">
        <v>41</v>
      </c>
      <c r="E306" s="4" t="s">
        <v>50</v>
      </c>
      <c r="F306" s="4" t="s">
        <v>34</v>
      </c>
      <c r="G306" s="4">
        <v>1</v>
      </c>
      <c r="H306" s="4">
        <v>359</v>
      </c>
      <c r="I306" s="4">
        <v>12813673</v>
      </c>
      <c r="J306" s="4">
        <v>48</v>
      </c>
      <c r="K306" s="4">
        <v>7.4791666666666696</v>
      </c>
      <c r="L306" s="4">
        <v>266951.52083333302</v>
      </c>
      <c r="M306" s="4">
        <v>35692.682451253502</v>
      </c>
      <c r="N306" s="4" t="s">
        <v>51</v>
      </c>
      <c r="O306" s="4">
        <v>0.30551130811594801</v>
      </c>
      <c r="P306" s="4">
        <v>0.228712341319221</v>
      </c>
    </row>
    <row r="307" spans="1:16">
      <c r="A307" s="4" t="s">
        <v>652</v>
      </c>
      <c r="B307" s="4" t="s">
        <v>30</v>
      </c>
      <c r="C307" s="4" t="s">
        <v>653</v>
      </c>
      <c r="D307" s="4" t="s">
        <v>41</v>
      </c>
      <c r="E307" s="4" t="s">
        <v>50</v>
      </c>
      <c r="F307" s="4" t="s">
        <v>34</v>
      </c>
      <c r="G307" s="4">
        <v>1</v>
      </c>
      <c r="H307" s="4">
        <v>386</v>
      </c>
      <c r="I307" s="4">
        <v>12781136</v>
      </c>
      <c r="J307" s="4">
        <v>48</v>
      </c>
      <c r="K307" s="4">
        <v>8.0416666666666696</v>
      </c>
      <c r="L307" s="4">
        <v>266273.66666666698</v>
      </c>
      <c r="M307" s="4">
        <v>33111.751295336799</v>
      </c>
      <c r="N307" s="4" t="s">
        <v>54</v>
      </c>
      <c r="O307" s="4">
        <v>0.22413125093106001</v>
      </c>
      <c r="P307" s="4">
        <v>0.18431285018559501</v>
      </c>
    </row>
    <row r="308" spans="1:16">
      <c r="A308" s="4" t="s">
        <v>654</v>
      </c>
      <c r="B308" s="4" t="s">
        <v>30</v>
      </c>
      <c r="C308" s="4" t="s">
        <v>655</v>
      </c>
      <c r="D308" s="4" t="s">
        <v>32</v>
      </c>
      <c r="E308" s="4" t="s">
        <v>33</v>
      </c>
      <c r="F308" s="4" t="s">
        <v>34</v>
      </c>
      <c r="G308" s="4">
        <v>1</v>
      </c>
      <c r="H308" s="4">
        <v>418</v>
      </c>
      <c r="I308" s="4">
        <v>12679857</v>
      </c>
      <c r="J308" s="4">
        <v>48</v>
      </c>
      <c r="K308" s="4">
        <v>8.7083333333333304</v>
      </c>
      <c r="L308" s="4">
        <v>264163.6875</v>
      </c>
      <c r="M308" s="4">
        <v>30334.5861244019</v>
      </c>
      <c r="N308" s="4" t="s">
        <v>54</v>
      </c>
      <c r="O308" s="4">
        <v>0.42209718926640899</v>
      </c>
      <c r="P308" s="4">
        <v>0.25353407534093297</v>
      </c>
    </row>
    <row r="309" spans="1:16">
      <c r="A309" s="4" t="s">
        <v>656</v>
      </c>
      <c r="B309" s="4" t="s">
        <v>30</v>
      </c>
      <c r="C309" s="4" t="s">
        <v>657</v>
      </c>
      <c r="D309" s="4" t="s">
        <v>41</v>
      </c>
      <c r="E309" s="4" t="s">
        <v>50</v>
      </c>
      <c r="F309" s="4" t="s">
        <v>34</v>
      </c>
      <c r="G309" s="4">
        <v>1</v>
      </c>
      <c r="H309" s="4">
        <v>345</v>
      </c>
      <c r="I309" s="4">
        <v>12670917</v>
      </c>
      <c r="J309" s="4">
        <v>48</v>
      </c>
      <c r="K309" s="4">
        <v>7.1875</v>
      </c>
      <c r="L309" s="4">
        <v>263977.4375</v>
      </c>
      <c r="M309" s="4">
        <v>36727.295652173903</v>
      </c>
      <c r="N309" s="4" t="s">
        <v>51</v>
      </c>
      <c r="O309" s="4">
        <v>0.32451865954137299</v>
      </c>
      <c r="P309" s="4">
        <v>0.21183894275875301</v>
      </c>
    </row>
    <row r="310" spans="1:16">
      <c r="A310" s="4" t="s">
        <v>658</v>
      </c>
      <c r="B310" s="4" t="s">
        <v>30</v>
      </c>
      <c r="C310" s="4" t="s">
        <v>659</v>
      </c>
      <c r="D310" s="4" t="s">
        <v>32</v>
      </c>
      <c r="E310" s="4" t="s">
        <v>67</v>
      </c>
      <c r="F310" s="4" t="s">
        <v>34</v>
      </c>
      <c r="G310" s="4">
        <v>1</v>
      </c>
      <c r="H310" s="4">
        <v>379</v>
      </c>
      <c r="I310" s="4">
        <v>12656990</v>
      </c>
      <c r="J310" s="4">
        <v>48</v>
      </c>
      <c r="K310" s="4">
        <v>7.8958333333333304</v>
      </c>
      <c r="L310" s="4">
        <v>263687.29166666698</v>
      </c>
      <c r="M310" s="4">
        <v>33395.7519788918</v>
      </c>
      <c r="N310" s="4" t="s">
        <v>54</v>
      </c>
      <c r="O310" s="4">
        <v>0.284845844075092</v>
      </c>
      <c r="P310" s="4">
        <v>0.195342568954507</v>
      </c>
    </row>
    <row r="311" spans="1:16">
      <c r="A311" s="4" t="s">
        <v>660</v>
      </c>
      <c r="B311" s="4" t="s">
        <v>30</v>
      </c>
      <c r="C311" s="4" t="s">
        <v>661</v>
      </c>
      <c r="D311" s="4" t="s">
        <v>41</v>
      </c>
      <c r="E311" s="4" t="s">
        <v>50</v>
      </c>
      <c r="F311" s="4" t="s">
        <v>34</v>
      </c>
      <c r="G311" s="4">
        <v>1</v>
      </c>
      <c r="H311" s="4">
        <v>382</v>
      </c>
      <c r="I311" s="4">
        <v>12650974</v>
      </c>
      <c r="J311" s="4">
        <v>48</v>
      </c>
      <c r="K311" s="4">
        <v>7.9583333333333304</v>
      </c>
      <c r="L311" s="4">
        <v>263561.95833333302</v>
      </c>
      <c r="M311" s="4">
        <v>33117.732984293201</v>
      </c>
      <c r="N311" s="4" t="s">
        <v>35</v>
      </c>
      <c r="O311" s="4">
        <v>0.244982165009587</v>
      </c>
      <c r="P311" s="4">
        <v>0.200079040299151</v>
      </c>
    </row>
    <row r="312" spans="1:16">
      <c r="A312" s="4" t="s">
        <v>662</v>
      </c>
      <c r="B312" s="4" t="s">
        <v>30</v>
      </c>
      <c r="C312" s="4" t="s">
        <v>663</v>
      </c>
      <c r="D312" s="4" t="s">
        <v>41</v>
      </c>
      <c r="E312" s="4" t="s">
        <v>50</v>
      </c>
      <c r="F312" s="4" t="s">
        <v>34</v>
      </c>
      <c r="G312" s="4">
        <v>1</v>
      </c>
      <c r="H312" s="4">
        <v>354</v>
      </c>
      <c r="I312" s="4">
        <v>12523819</v>
      </c>
      <c r="J312" s="4">
        <v>48</v>
      </c>
      <c r="K312" s="4">
        <v>7.375</v>
      </c>
      <c r="L312" s="4">
        <v>260912.89583333299</v>
      </c>
      <c r="M312" s="4">
        <v>35378.0197740113</v>
      </c>
      <c r="N312" s="4" t="s">
        <v>51</v>
      </c>
      <c r="O312" s="4">
        <v>0.41876132192584398</v>
      </c>
      <c r="P312" s="4">
        <v>0.27109515070332502</v>
      </c>
    </row>
    <row r="313" spans="1:16">
      <c r="A313" s="4" t="s">
        <v>664</v>
      </c>
      <c r="B313" s="4" t="s">
        <v>30</v>
      </c>
      <c r="C313" s="4" t="s">
        <v>665</v>
      </c>
      <c r="D313" s="4" t="s">
        <v>41</v>
      </c>
      <c r="E313" s="4" t="s">
        <v>42</v>
      </c>
      <c r="F313" s="4" t="s">
        <v>34</v>
      </c>
      <c r="G313" s="4">
        <v>1</v>
      </c>
      <c r="H313" s="4">
        <v>388</v>
      </c>
      <c r="I313" s="4">
        <v>12465536</v>
      </c>
      <c r="J313" s="4">
        <v>48</v>
      </c>
      <c r="K313" s="4">
        <v>8.0833333333333304</v>
      </c>
      <c r="L313" s="4">
        <v>259698.66666666701</v>
      </c>
      <c r="M313" s="4">
        <v>32127.670103092802</v>
      </c>
      <c r="N313" s="4" t="s">
        <v>68</v>
      </c>
      <c r="O313" s="4">
        <v>0.276365252164047</v>
      </c>
      <c r="P313" s="4">
        <v>0.19017377110891201</v>
      </c>
    </row>
    <row r="314" spans="1:16">
      <c r="A314" s="4" t="s">
        <v>666</v>
      </c>
      <c r="B314" s="4" t="s">
        <v>30</v>
      </c>
      <c r="C314" s="4" t="s">
        <v>667</v>
      </c>
      <c r="D314" s="4" t="s">
        <v>32</v>
      </c>
      <c r="E314" s="4" t="s">
        <v>33</v>
      </c>
      <c r="F314" s="4" t="s">
        <v>34</v>
      </c>
      <c r="G314" s="4">
        <v>1</v>
      </c>
      <c r="H314" s="4">
        <v>377</v>
      </c>
      <c r="I314" s="4">
        <v>12432676</v>
      </c>
      <c r="J314" s="4">
        <v>48</v>
      </c>
      <c r="K314" s="4">
        <v>7.8541666666666696</v>
      </c>
      <c r="L314" s="4">
        <v>259014.08333333299</v>
      </c>
      <c r="M314" s="4">
        <v>32977.920424403201</v>
      </c>
      <c r="N314" s="4" t="s">
        <v>35</v>
      </c>
      <c r="O314" s="4">
        <v>0.33645234541622399</v>
      </c>
      <c r="P314" s="4">
        <v>0.21062492521842899</v>
      </c>
    </row>
    <row r="315" spans="1:16">
      <c r="A315" s="4" t="s">
        <v>668</v>
      </c>
      <c r="B315" s="4" t="s">
        <v>30</v>
      </c>
      <c r="C315" s="4" t="s">
        <v>669</v>
      </c>
      <c r="D315" s="4" t="s">
        <v>32</v>
      </c>
      <c r="E315" s="4" t="s">
        <v>67</v>
      </c>
      <c r="F315" s="4" t="s">
        <v>34</v>
      </c>
      <c r="G315" s="4">
        <v>1</v>
      </c>
      <c r="H315" s="4">
        <v>363</v>
      </c>
      <c r="I315" s="4">
        <v>12394267</v>
      </c>
      <c r="J315" s="4">
        <v>48</v>
      </c>
      <c r="K315" s="4">
        <v>7.5625</v>
      </c>
      <c r="L315" s="4">
        <v>258213.89583333299</v>
      </c>
      <c r="M315" s="4">
        <v>34143.9862258953</v>
      </c>
      <c r="N315" s="4" t="s">
        <v>35</v>
      </c>
      <c r="O315" s="4">
        <v>0.22509802314247401</v>
      </c>
      <c r="P315" s="4">
        <v>0.17483181099584999</v>
      </c>
    </row>
    <row r="316" spans="1:16">
      <c r="A316" s="4" t="s">
        <v>670</v>
      </c>
      <c r="B316" s="4" t="s">
        <v>30</v>
      </c>
      <c r="C316" s="4" t="s">
        <v>671</v>
      </c>
      <c r="D316" s="4" t="s">
        <v>32</v>
      </c>
      <c r="E316" s="4" t="s">
        <v>33</v>
      </c>
      <c r="F316" s="4" t="s">
        <v>34</v>
      </c>
      <c r="G316" s="4">
        <v>1</v>
      </c>
      <c r="H316" s="4">
        <v>374</v>
      </c>
      <c r="I316" s="4">
        <v>12360135</v>
      </c>
      <c r="J316" s="4">
        <v>48</v>
      </c>
      <c r="K316" s="4">
        <v>7.7916666666666696</v>
      </c>
      <c r="L316" s="4">
        <v>257502.8125</v>
      </c>
      <c r="M316" s="4">
        <v>33048.4893048128</v>
      </c>
      <c r="N316" s="4" t="s">
        <v>54</v>
      </c>
      <c r="O316" s="4">
        <v>0.26743453853861598</v>
      </c>
      <c r="P316" s="4">
        <v>0.19619047500582701</v>
      </c>
    </row>
    <row r="317" spans="1:16">
      <c r="A317" s="4" t="s">
        <v>672</v>
      </c>
      <c r="B317" s="4" t="s">
        <v>30</v>
      </c>
      <c r="C317" s="4" t="s">
        <v>673</v>
      </c>
      <c r="D317" s="4" t="s">
        <v>41</v>
      </c>
      <c r="E317" s="4" t="s">
        <v>50</v>
      </c>
      <c r="F317" s="4" t="s">
        <v>34</v>
      </c>
      <c r="G317" s="4">
        <v>1</v>
      </c>
      <c r="H317" s="4">
        <v>416</v>
      </c>
      <c r="I317" s="4">
        <v>12344160</v>
      </c>
      <c r="J317" s="4">
        <v>48</v>
      </c>
      <c r="K317" s="4">
        <v>8.6666666666666696</v>
      </c>
      <c r="L317" s="4">
        <v>257170</v>
      </c>
      <c r="M317" s="4">
        <v>29673.461538461499</v>
      </c>
      <c r="N317" s="4" t="s">
        <v>35</v>
      </c>
      <c r="O317" s="4">
        <v>0.35347816295317003</v>
      </c>
      <c r="P317" s="4">
        <v>0.21544715867827</v>
      </c>
    </row>
    <row r="318" spans="1:16">
      <c r="A318" s="4" t="s">
        <v>674</v>
      </c>
      <c r="B318" s="4" t="s">
        <v>30</v>
      </c>
      <c r="C318" s="4" t="s">
        <v>675</v>
      </c>
      <c r="D318" s="4" t="s">
        <v>32</v>
      </c>
      <c r="E318" s="4" t="s">
        <v>33</v>
      </c>
      <c r="F318" s="4" t="s">
        <v>34</v>
      </c>
      <c r="G318" s="4">
        <v>1</v>
      </c>
      <c r="H318" s="4">
        <v>365</v>
      </c>
      <c r="I318" s="4">
        <v>12331196</v>
      </c>
      <c r="J318" s="4">
        <v>48</v>
      </c>
      <c r="K318" s="4">
        <v>7.6041666666666696</v>
      </c>
      <c r="L318" s="4">
        <v>256899.91666666701</v>
      </c>
      <c r="M318" s="4">
        <v>33784.098630136999</v>
      </c>
      <c r="N318" s="4" t="s">
        <v>54</v>
      </c>
      <c r="O318" s="4">
        <v>0.248311112725805</v>
      </c>
      <c r="P318" s="4">
        <v>0.18863645865934101</v>
      </c>
    </row>
    <row r="319" spans="1:16">
      <c r="A319" s="4" t="s">
        <v>676</v>
      </c>
      <c r="B319" s="4" t="s">
        <v>30</v>
      </c>
      <c r="C319" s="4" t="s">
        <v>677</v>
      </c>
      <c r="D319" s="4" t="s">
        <v>41</v>
      </c>
      <c r="E319" s="4" t="s">
        <v>42</v>
      </c>
      <c r="F319" s="4" t="s">
        <v>34</v>
      </c>
      <c r="G319" s="4">
        <v>1</v>
      </c>
      <c r="H319" s="4">
        <v>422</v>
      </c>
      <c r="I319" s="4">
        <v>12315560</v>
      </c>
      <c r="J319" s="4">
        <v>48</v>
      </c>
      <c r="K319" s="4">
        <v>8.7916666666666696</v>
      </c>
      <c r="L319" s="4">
        <v>256574.16666666701</v>
      </c>
      <c r="M319" s="4">
        <v>29183.791469194301</v>
      </c>
      <c r="N319" s="4" t="s">
        <v>68</v>
      </c>
      <c r="O319" s="4">
        <v>0.21334425718359501</v>
      </c>
      <c r="P319" s="4">
        <v>0.171236385617062</v>
      </c>
    </row>
    <row r="320" spans="1:16">
      <c r="A320" s="4" t="s">
        <v>678</v>
      </c>
      <c r="B320" s="4" t="s">
        <v>30</v>
      </c>
      <c r="C320" s="4" t="s">
        <v>679</v>
      </c>
      <c r="D320" s="4" t="s">
        <v>41</v>
      </c>
      <c r="E320" s="4" t="s">
        <v>42</v>
      </c>
      <c r="F320" s="4" t="s">
        <v>34</v>
      </c>
      <c r="G320" s="4">
        <v>1</v>
      </c>
      <c r="H320" s="4">
        <v>380</v>
      </c>
      <c r="I320" s="4">
        <v>12306464</v>
      </c>
      <c r="J320" s="4">
        <v>48</v>
      </c>
      <c r="K320" s="4">
        <v>7.9166666666666696</v>
      </c>
      <c r="L320" s="4">
        <v>256384.66666666701</v>
      </c>
      <c r="M320" s="4">
        <v>32385.431578947399</v>
      </c>
      <c r="N320" s="4" t="s">
        <v>47</v>
      </c>
      <c r="O320" s="4">
        <v>0.34688054992888301</v>
      </c>
      <c r="P320" s="4">
        <v>0.20796386756027799</v>
      </c>
    </row>
    <row r="321" spans="1:16">
      <c r="A321" s="4" t="s">
        <v>680</v>
      </c>
      <c r="B321" s="4" t="s">
        <v>30</v>
      </c>
      <c r="C321" s="4" t="s">
        <v>681</v>
      </c>
      <c r="D321" s="4" t="s">
        <v>32</v>
      </c>
      <c r="E321" s="4" t="s">
        <v>33</v>
      </c>
      <c r="F321" s="4" t="s">
        <v>34</v>
      </c>
      <c r="G321" s="4">
        <v>1</v>
      </c>
      <c r="H321" s="4">
        <v>368</v>
      </c>
      <c r="I321" s="4">
        <v>12302834</v>
      </c>
      <c r="J321" s="4">
        <v>48</v>
      </c>
      <c r="K321" s="4">
        <v>7.6666666666666696</v>
      </c>
      <c r="L321" s="4">
        <v>256309.04166666701</v>
      </c>
      <c r="M321" s="4">
        <v>33431.614130434798</v>
      </c>
      <c r="N321" s="4" t="s">
        <v>68</v>
      </c>
      <c r="O321" s="4">
        <v>0.356482579542242</v>
      </c>
      <c r="P321" s="4">
        <v>0.211705665302172</v>
      </c>
    </row>
    <row r="322" spans="1:16">
      <c r="A322" s="4" t="s">
        <v>682</v>
      </c>
      <c r="B322" s="4" t="s">
        <v>30</v>
      </c>
      <c r="C322" s="4" t="s">
        <v>683</v>
      </c>
      <c r="D322" s="4" t="s">
        <v>32</v>
      </c>
      <c r="E322" s="4" t="s">
        <v>33</v>
      </c>
      <c r="F322" s="4" t="s">
        <v>34</v>
      </c>
      <c r="G322" s="4">
        <v>1</v>
      </c>
      <c r="H322" s="4">
        <v>385</v>
      </c>
      <c r="I322" s="4">
        <v>12145917</v>
      </c>
      <c r="J322" s="4">
        <v>48</v>
      </c>
      <c r="K322" s="4">
        <v>8.0208333333333304</v>
      </c>
      <c r="L322" s="4">
        <v>253039.9375</v>
      </c>
      <c r="M322" s="4">
        <v>31547.836363636401</v>
      </c>
      <c r="N322" s="4" t="s">
        <v>51</v>
      </c>
      <c r="O322" s="4">
        <v>0.26706209173008499</v>
      </c>
      <c r="P322" s="4">
        <v>0.18931893792184701</v>
      </c>
    </row>
    <row r="323" spans="1:16">
      <c r="A323" s="4" t="s">
        <v>684</v>
      </c>
      <c r="B323" s="4" t="s">
        <v>30</v>
      </c>
      <c r="C323" s="4" t="s">
        <v>685</v>
      </c>
      <c r="D323" s="4" t="s">
        <v>32</v>
      </c>
      <c r="E323" s="4" t="s">
        <v>33</v>
      </c>
      <c r="F323" s="4" t="s">
        <v>34</v>
      </c>
      <c r="G323" s="4">
        <v>1</v>
      </c>
      <c r="H323" s="4">
        <v>357</v>
      </c>
      <c r="I323" s="4">
        <v>12135998</v>
      </c>
      <c r="J323" s="4">
        <v>48</v>
      </c>
      <c r="K323" s="4">
        <v>7.4375</v>
      </c>
      <c r="L323" s="4">
        <v>252833.29166666701</v>
      </c>
      <c r="M323" s="4">
        <v>33994.392156862799</v>
      </c>
      <c r="N323" s="4" t="s">
        <v>35</v>
      </c>
      <c r="O323" s="4">
        <v>0.20506389338561201</v>
      </c>
      <c r="P323" s="4">
        <v>0.170884883692133</v>
      </c>
    </row>
    <row r="324" spans="1:16">
      <c r="A324" s="4" t="s">
        <v>686</v>
      </c>
      <c r="B324" s="4" t="s">
        <v>30</v>
      </c>
      <c r="C324" s="4" t="s">
        <v>687</v>
      </c>
      <c r="D324" s="4" t="s">
        <v>32</v>
      </c>
      <c r="E324" s="4" t="s">
        <v>67</v>
      </c>
      <c r="F324" s="4" t="s">
        <v>34</v>
      </c>
      <c r="G324" s="4">
        <v>1</v>
      </c>
      <c r="H324" s="4">
        <v>388</v>
      </c>
      <c r="I324" s="4">
        <v>12122039</v>
      </c>
      <c r="J324" s="4">
        <v>48</v>
      </c>
      <c r="K324" s="4">
        <v>8.0833333333333304</v>
      </c>
      <c r="L324" s="4">
        <v>252542.47916666701</v>
      </c>
      <c r="M324" s="4">
        <v>31242.368556701</v>
      </c>
      <c r="N324" s="4" t="s">
        <v>68</v>
      </c>
      <c r="O324" s="4">
        <v>0.31552282582162999</v>
      </c>
      <c r="P324" s="4">
        <v>0.200879682627227</v>
      </c>
    </row>
    <row r="325" spans="1:16">
      <c r="A325" s="4" t="s">
        <v>688</v>
      </c>
      <c r="B325" s="4" t="s">
        <v>30</v>
      </c>
      <c r="C325" s="4" t="s">
        <v>689</v>
      </c>
      <c r="D325" s="4" t="s">
        <v>32</v>
      </c>
      <c r="E325" s="4" t="s">
        <v>33</v>
      </c>
      <c r="F325" s="4" t="s">
        <v>34</v>
      </c>
      <c r="G325" s="4">
        <v>1</v>
      </c>
      <c r="H325" s="4">
        <v>381</v>
      </c>
      <c r="I325" s="4">
        <v>12103140</v>
      </c>
      <c r="J325" s="4">
        <v>48</v>
      </c>
      <c r="K325" s="4">
        <v>7.9375</v>
      </c>
      <c r="L325" s="4">
        <v>252148.75</v>
      </c>
      <c r="M325" s="4">
        <v>31766.771653543299</v>
      </c>
      <c r="N325" s="4" t="s">
        <v>47</v>
      </c>
      <c r="O325" s="4">
        <v>0.23667982027804399</v>
      </c>
      <c r="P325" s="4">
        <v>0.18144475284439701</v>
      </c>
    </row>
    <row r="326" spans="1:16">
      <c r="A326" s="4" t="s">
        <v>690</v>
      </c>
      <c r="B326" s="4" t="s">
        <v>30</v>
      </c>
      <c r="C326" s="4" t="s">
        <v>691</v>
      </c>
      <c r="D326" s="4" t="s">
        <v>41</v>
      </c>
      <c r="E326" s="4" t="s">
        <v>42</v>
      </c>
      <c r="F326" s="4" t="s">
        <v>34</v>
      </c>
      <c r="G326" s="4">
        <v>1</v>
      </c>
      <c r="H326" s="4">
        <v>390</v>
      </c>
      <c r="I326" s="4">
        <v>12013852</v>
      </c>
      <c r="J326" s="4">
        <v>48</v>
      </c>
      <c r="K326" s="4">
        <v>8.125</v>
      </c>
      <c r="L326" s="4">
        <v>250288.58333333299</v>
      </c>
      <c r="M326" s="4">
        <v>30804.7487179487</v>
      </c>
      <c r="N326" s="4" t="s">
        <v>68</v>
      </c>
      <c r="O326" s="4">
        <v>0.26982561463217603</v>
      </c>
      <c r="P326" s="4">
        <v>0.19092469820803601</v>
      </c>
    </row>
    <row r="327" spans="1:16">
      <c r="A327" s="4" t="s">
        <v>692</v>
      </c>
      <c r="B327" s="4" t="s">
        <v>30</v>
      </c>
      <c r="C327" s="4" t="s">
        <v>693</v>
      </c>
      <c r="D327" s="4" t="s">
        <v>32</v>
      </c>
      <c r="E327" s="4" t="s">
        <v>33</v>
      </c>
      <c r="F327" s="4" t="s">
        <v>34</v>
      </c>
      <c r="G327" s="4">
        <v>1</v>
      </c>
      <c r="H327" s="4">
        <v>369</v>
      </c>
      <c r="I327" s="4">
        <v>11948953</v>
      </c>
      <c r="J327" s="4">
        <v>48</v>
      </c>
      <c r="K327" s="4">
        <v>7.6875</v>
      </c>
      <c r="L327" s="4">
        <v>248936.52083333299</v>
      </c>
      <c r="M327" s="4">
        <v>32381.9864498645</v>
      </c>
      <c r="N327" s="4" t="s">
        <v>51</v>
      </c>
      <c r="O327" s="4">
        <v>0.25404024938419301</v>
      </c>
      <c r="P327" s="4">
        <v>0.19083329299393501</v>
      </c>
    </row>
    <row r="328" spans="1:16">
      <c r="A328" s="4" t="s">
        <v>694</v>
      </c>
      <c r="B328" s="4" t="s">
        <v>30</v>
      </c>
      <c r="C328" s="4" t="s">
        <v>695</v>
      </c>
      <c r="D328" s="4" t="s">
        <v>32</v>
      </c>
      <c r="E328" s="4" t="s">
        <v>33</v>
      </c>
      <c r="F328" s="4" t="s">
        <v>34</v>
      </c>
      <c r="G328" s="4">
        <v>1</v>
      </c>
      <c r="H328" s="4">
        <v>393</v>
      </c>
      <c r="I328" s="4">
        <v>11938923</v>
      </c>
      <c r="J328" s="4">
        <v>48</v>
      </c>
      <c r="K328" s="4">
        <v>8.1875</v>
      </c>
      <c r="L328" s="4">
        <v>248727.5625</v>
      </c>
      <c r="M328" s="4">
        <v>30378.9389312977</v>
      </c>
      <c r="N328" s="4" t="s">
        <v>68</v>
      </c>
      <c r="O328" s="4">
        <v>0.25424052069018299</v>
      </c>
      <c r="P328" s="4">
        <v>0.18290145745995701</v>
      </c>
    </row>
    <row r="329" spans="1:16">
      <c r="A329" s="4" t="s">
        <v>696</v>
      </c>
      <c r="B329" s="4" t="s">
        <v>30</v>
      </c>
      <c r="C329" s="4" t="s">
        <v>697</v>
      </c>
      <c r="D329" s="4" t="s">
        <v>41</v>
      </c>
      <c r="E329" s="4" t="s">
        <v>50</v>
      </c>
      <c r="F329" s="4" t="s">
        <v>34</v>
      </c>
      <c r="G329" s="4">
        <v>1</v>
      </c>
      <c r="H329" s="4">
        <v>378</v>
      </c>
      <c r="I329" s="4">
        <v>11842430</v>
      </c>
      <c r="J329" s="4">
        <v>48</v>
      </c>
      <c r="K329" s="4">
        <v>7.875</v>
      </c>
      <c r="L329" s="4">
        <v>246717.29166666701</v>
      </c>
      <c r="M329" s="4">
        <v>31329.179894179899</v>
      </c>
      <c r="N329" s="4" t="s">
        <v>35</v>
      </c>
      <c r="O329" s="4">
        <v>0.324880535498204</v>
      </c>
      <c r="P329" s="4">
        <v>0.22830679063464299</v>
      </c>
    </row>
    <row r="330" spans="1:16">
      <c r="A330" s="4" t="s">
        <v>698</v>
      </c>
      <c r="B330" s="4" t="s">
        <v>30</v>
      </c>
      <c r="C330" s="4" t="s">
        <v>699</v>
      </c>
      <c r="D330" s="4" t="s">
        <v>32</v>
      </c>
      <c r="E330" s="4" t="s">
        <v>33</v>
      </c>
      <c r="F330" s="4" t="s">
        <v>34</v>
      </c>
      <c r="G330" s="4">
        <v>1</v>
      </c>
      <c r="H330" s="4">
        <v>344</v>
      </c>
      <c r="I330" s="4">
        <v>11821594</v>
      </c>
      <c r="J330" s="4">
        <v>48</v>
      </c>
      <c r="K330" s="4">
        <v>7.1666666666666696</v>
      </c>
      <c r="L330" s="4">
        <v>246283.20833333299</v>
      </c>
      <c r="M330" s="4">
        <v>34365.098837209298</v>
      </c>
      <c r="N330" s="4" t="s">
        <v>68</v>
      </c>
      <c r="O330" s="4">
        <v>0.37182760632787798</v>
      </c>
      <c r="P330" s="4">
        <v>0.22084800673702501</v>
      </c>
    </row>
    <row r="331" spans="1:16">
      <c r="A331" s="4" t="s">
        <v>700</v>
      </c>
      <c r="B331" s="4" t="s">
        <v>30</v>
      </c>
      <c r="C331" s="4" t="s">
        <v>701</v>
      </c>
      <c r="D331" s="4" t="s">
        <v>32</v>
      </c>
      <c r="E331" s="4" t="s">
        <v>33</v>
      </c>
      <c r="F331" s="4" t="s">
        <v>34</v>
      </c>
      <c r="G331" s="4">
        <v>1</v>
      </c>
      <c r="H331" s="4">
        <v>388</v>
      </c>
      <c r="I331" s="4">
        <v>11726828</v>
      </c>
      <c r="J331" s="4">
        <v>48</v>
      </c>
      <c r="K331" s="4">
        <v>8.0833333333333304</v>
      </c>
      <c r="L331" s="4">
        <v>244308.91666666701</v>
      </c>
      <c r="M331" s="4">
        <v>30223.783505154599</v>
      </c>
      <c r="N331" s="4" t="s">
        <v>35</v>
      </c>
      <c r="O331" s="4">
        <v>0.28405396582946402</v>
      </c>
      <c r="P331" s="4">
        <v>0.217808288725553</v>
      </c>
    </row>
    <row r="332" spans="1:16">
      <c r="A332" s="4" t="s">
        <v>702</v>
      </c>
      <c r="B332" s="4" t="s">
        <v>30</v>
      </c>
      <c r="C332" s="4" t="s">
        <v>703</v>
      </c>
      <c r="D332" s="4" t="s">
        <v>41</v>
      </c>
      <c r="E332" s="4" t="s">
        <v>50</v>
      </c>
      <c r="F332" s="4" t="s">
        <v>34</v>
      </c>
      <c r="G332" s="4">
        <v>1</v>
      </c>
      <c r="H332" s="4">
        <v>404</v>
      </c>
      <c r="I332" s="4">
        <v>11710499.775510199</v>
      </c>
      <c r="J332" s="4">
        <v>48</v>
      </c>
      <c r="K332" s="4">
        <v>8.4166666666666696</v>
      </c>
      <c r="L332" s="4">
        <v>243968.745323129</v>
      </c>
      <c r="M332" s="4">
        <v>28986.385582946099</v>
      </c>
      <c r="N332" s="4" t="s">
        <v>54</v>
      </c>
      <c r="O332" s="4">
        <v>0.36253190358182102</v>
      </c>
      <c r="P332" s="4">
        <v>0.22313398221744901</v>
      </c>
    </row>
    <row r="333" spans="1:16">
      <c r="A333" s="4" t="s">
        <v>704</v>
      </c>
      <c r="B333" s="4" t="s">
        <v>30</v>
      </c>
      <c r="C333" s="4" t="s">
        <v>705</v>
      </c>
      <c r="D333" s="4" t="s">
        <v>41</v>
      </c>
      <c r="E333" s="4" t="s">
        <v>50</v>
      </c>
      <c r="F333" s="4" t="s">
        <v>34</v>
      </c>
      <c r="G333" s="4">
        <v>1</v>
      </c>
      <c r="H333" s="4">
        <v>383</v>
      </c>
      <c r="I333" s="4">
        <v>11667849</v>
      </c>
      <c r="J333" s="4">
        <v>48</v>
      </c>
      <c r="K333" s="4">
        <v>7.9791666666666696</v>
      </c>
      <c r="L333" s="4">
        <v>243080.1875</v>
      </c>
      <c r="M333" s="4">
        <v>30464.357702349898</v>
      </c>
      <c r="N333" s="4" t="s">
        <v>54</v>
      </c>
      <c r="O333" s="4">
        <v>0.39612939797215402</v>
      </c>
      <c r="P333" s="4">
        <v>0.24482257081348399</v>
      </c>
    </row>
    <row r="334" spans="1:16">
      <c r="A334" s="4" t="s">
        <v>706</v>
      </c>
      <c r="B334" s="4" t="s">
        <v>30</v>
      </c>
      <c r="C334" s="4" t="s">
        <v>707</v>
      </c>
      <c r="D334" s="4" t="s">
        <v>32</v>
      </c>
      <c r="E334" s="4" t="s">
        <v>67</v>
      </c>
      <c r="F334" s="4" t="s">
        <v>34</v>
      </c>
      <c r="G334" s="4">
        <v>1</v>
      </c>
      <c r="H334" s="4">
        <v>379</v>
      </c>
      <c r="I334" s="4">
        <v>11299828</v>
      </c>
      <c r="J334" s="4">
        <v>48</v>
      </c>
      <c r="K334" s="4">
        <v>7.8958333333333304</v>
      </c>
      <c r="L334" s="4">
        <v>235413.08333333299</v>
      </c>
      <c r="M334" s="4">
        <v>29814.849604221599</v>
      </c>
      <c r="N334" s="4" t="s">
        <v>54</v>
      </c>
      <c r="O334" s="4">
        <v>0.25090426155159201</v>
      </c>
      <c r="P334" s="4">
        <v>0.192823604159712</v>
      </c>
    </row>
    <row r="335" spans="1:16">
      <c r="A335" s="4" t="s">
        <v>708</v>
      </c>
      <c r="B335" s="4" t="s">
        <v>30</v>
      </c>
      <c r="C335" s="4" t="s">
        <v>709</v>
      </c>
      <c r="D335" s="4" t="s">
        <v>41</v>
      </c>
      <c r="E335" s="4" t="s">
        <v>50</v>
      </c>
      <c r="F335" s="4" t="s">
        <v>34</v>
      </c>
      <c r="G335" s="4">
        <v>1</v>
      </c>
      <c r="H335" s="4">
        <v>401</v>
      </c>
      <c r="I335" s="4">
        <v>11129458</v>
      </c>
      <c r="J335" s="4">
        <v>48</v>
      </c>
      <c r="K335" s="4">
        <v>8.3541666666666696</v>
      </c>
      <c r="L335" s="4">
        <v>231863.70833333299</v>
      </c>
      <c r="M335" s="4">
        <v>27754.259351621</v>
      </c>
      <c r="N335" s="4" t="s">
        <v>54</v>
      </c>
      <c r="O335" s="4">
        <v>0.37746483251924801</v>
      </c>
      <c r="P335" s="4">
        <v>0.22218463521141699</v>
      </c>
    </row>
    <row r="336" spans="1:16">
      <c r="A336" s="4" t="s">
        <v>710</v>
      </c>
      <c r="B336" s="4" t="s">
        <v>30</v>
      </c>
      <c r="C336" s="4" t="s">
        <v>711</v>
      </c>
      <c r="D336" s="4" t="s">
        <v>32</v>
      </c>
      <c r="E336" s="4" t="s">
        <v>33</v>
      </c>
      <c r="F336" s="4" t="s">
        <v>34</v>
      </c>
      <c r="G336" s="4">
        <v>1</v>
      </c>
      <c r="H336" s="4">
        <v>405</v>
      </c>
      <c r="I336" s="4">
        <v>11107603</v>
      </c>
      <c r="J336" s="4">
        <v>48</v>
      </c>
      <c r="K336" s="4">
        <v>8.4375</v>
      </c>
      <c r="L336" s="4">
        <v>231408.39583333299</v>
      </c>
      <c r="M336" s="4">
        <v>27426.180246913598</v>
      </c>
      <c r="N336" s="4" t="s">
        <v>47</v>
      </c>
      <c r="O336" s="4">
        <v>0.22804064927419501</v>
      </c>
      <c r="P336" s="4">
        <v>0.18419527838962199</v>
      </c>
    </row>
    <row r="337" spans="1:16">
      <c r="A337" s="4" t="s">
        <v>712</v>
      </c>
      <c r="B337" s="4" t="s">
        <v>30</v>
      </c>
      <c r="C337" s="4" t="s">
        <v>713</v>
      </c>
      <c r="D337" s="4" t="s">
        <v>32</v>
      </c>
      <c r="E337" s="4" t="s">
        <v>67</v>
      </c>
      <c r="F337" s="4" t="s">
        <v>34</v>
      </c>
      <c r="G337" s="4">
        <v>1</v>
      </c>
      <c r="H337" s="4">
        <v>354</v>
      </c>
      <c r="I337" s="4">
        <v>11028227</v>
      </c>
      <c r="J337" s="4">
        <v>48</v>
      </c>
      <c r="K337" s="4">
        <v>7.375</v>
      </c>
      <c r="L337" s="4">
        <v>229754.72916666701</v>
      </c>
      <c r="M337" s="4">
        <v>31153.183615819202</v>
      </c>
      <c r="N337" s="4" t="s">
        <v>35</v>
      </c>
      <c r="O337" s="4">
        <v>0.26817030516328699</v>
      </c>
      <c r="P337" s="4">
        <v>0.18577458043091399</v>
      </c>
    </row>
    <row r="338" spans="1:16">
      <c r="A338" s="4" t="s">
        <v>714</v>
      </c>
      <c r="B338" s="4" t="s">
        <v>30</v>
      </c>
      <c r="C338" s="4" t="s">
        <v>715</v>
      </c>
      <c r="D338" s="4" t="s">
        <v>32</v>
      </c>
      <c r="E338" s="4" t="s">
        <v>33</v>
      </c>
      <c r="F338" s="4" t="s">
        <v>34</v>
      </c>
      <c r="G338" s="4">
        <v>1</v>
      </c>
      <c r="H338" s="4">
        <v>355</v>
      </c>
      <c r="I338" s="4">
        <v>10990529</v>
      </c>
      <c r="J338" s="4">
        <v>48</v>
      </c>
      <c r="K338" s="4">
        <v>7.3958333333333304</v>
      </c>
      <c r="L338" s="4">
        <v>228969.35416666701</v>
      </c>
      <c r="M338" s="4">
        <v>30959.2366197183</v>
      </c>
      <c r="N338" s="4" t="s">
        <v>51</v>
      </c>
      <c r="O338" s="4">
        <v>0.28846846225509298</v>
      </c>
      <c r="P338" s="4">
        <v>0.19448257345925801</v>
      </c>
    </row>
    <row r="339" spans="1:16">
      <c r="A339" s="4" t="s">
        <v>716</v>
      </c>
      <c r="B339" s="4" t="s">
        <v>30</v>
      </c>
      <c r="C339" s="4" t="s">
        <v>717</v>
      </c>
      <c r="D339" s="4" t="s">
        <v>32</v>
      </c>
      <c r="E339" s="4" t="s">
        <v>33</v>
      </c>
      <c r="F339" s="4" t="s">
        <v>34</v>
      </c>
      <c r="G339" s="4">
        <v>1</v>
      </c>
      <c r="H339" s="4">
        <v>388</v>
      </c>
      <c r="I339" s="4">
        <v>10508296</v>
      </c>
      <c r="J339" s="4">
        <v>48</v>
      </c>
      <c r="K339" s="4">
        <v>8.0833333333333304</v>
      </c>
      <c r="L339" s="4">
        <v>218922.83333333299</v>
      </c>
      <c r="M339" s="4">
        <v>27083.237113402101</v>
      </c>
      <c r="N339" s="4" t="s">
        <v>47</v>
      </c>
      <c r="O339" s="4">
        <v>0.20158501435437301</v>
      </c>
      <c r="P339" s="4">
        <v>0.170562433658216</v>
      </c>
    </row>
    <row r="340" spans="1:16">
      <c r="A340" s="4" t="s">
        <v>718</v>
      </c>
      <c r="B340" s="4" t="s">
        <v>30</v>
      </c>
      <c r="C340" s="4" t="s">
        <v>719</v>
      </c>
      <c r="D340" s="4" t="s">
        <v>32</v>
      </c>
      <c r="E340" s="4" t="s">
        <v>67</v>
      </c>
      <c r="F340" s="4" t="s">
        <v>34</v>
      </c>
      <c r="G340" s="4">
        <v>1</v>
      </c>
      <c r="H340" s="4">
        <v>382</v>
      </c>
      <c r="I340" s="4">
        <v>10465861</v>
      </c>
      <c r="J340" s="4">
        <v>48</v>
      </c>
      <c r="K340" s="4">
        <v>7.9583333333333304</v>
      </c>
      <c r="L340" s="4">
        <v>218038.77083333299</v>
      </c>
      <c r="M340" s="4">
        <v>27397.541884816801</v>
      </c>
      <c r="N340" s="4" t="s">
        <v>54</v>
      </c>
      <c r="O340" s="4">
        <v>0.27641538522248699</v>
      </c>
      <c r="P340" s="4">
        <v>0.20535047720970301</v>
      </c>
    </row>
    <row r="341" spans="1:16">
      <c r="A341" s="4" t="s">
        <v>720</v>
      </c>
      <c r="B341" s="4" t="s">
        <v>30</v>
      </c>
      <c r="C341" s="4" t="s">
        <v>721</v>
      </c>
      <c r="D341" s="4" t="s">
        <v>32</v>
      </c>
      <c r="E341" s="4" t="s">
        <v>33</v>
      </c>
      <c r="F341" s="4" t="s">
        <v>34</v>
      </c>
      <c r="G341" s="4">
        <v>1</v>
      </c>
      <c r="H341" s="4">
        <v>372</v>
      </c>
      <c r="I341" s="4">
        <v>10446536</v>
      </c>
      <c r="J341" s="4">
        <v>48</v>
      </c>
      <c r="K341" s="4">
        <v>7.75</v>
      </c>
      <c r="L341" s="4">
        <v>217636.16666666701</v>
      </c>
      <c r="M341" s="4">
        <v>28082.086021505402</v>
      </c>
      <c r="N341" s="4" t="s">
        <v>35</v>
      </c>
      <c r="O341" s="4">
        <v>0.31489644031284603</v>
      </c>
      <c r="P341" s="4">
        <v>0.207080271611919</v>
      </c>
    </row>
    <row r="342" spans="1:16">
      <c r="A342" s="4" t="s">
        <v>722</v>
      </c>
      <c r="B342" s="4" t="s">
        <v>30</v>
      </c>
      <c r="C342" s="4" t="s">
        <v>723</v>
      </c>
      <c r="D342" s="4" t="s">
        <v>41</v>
      </c>
      <c r="E342" s="4" t="s">
        <v>42</v>
      </c>
      <c r="F342" s="4" t="s">
        <v>724</v>
      </c>
      <c r="G342" s="4">
        <v>1</v>
      </c>
      <c r="H342" s="4">
        <v>378</v>
      </c>
      <c r="I342" s="4">
        <v>93561780</v>
      </c>
      <c r="J342" s="4">
        <v>48</v>
      </c>
      <c r="K342" s="4">
        <v>7.875</v>
      </c>
      <c r="L342" s="4">
        <v>1949203.75</v>
      </c>
      <c r="M342" s="4">
        <v>247517.936507937</v>
      </c>
      <c r="N342" s="4" t="s">
        <v>51</v>
      </c>
      <c r="O342" s="4">
        <v>0.86350750274310695</v>
      </c>
      <c r="P342" s="4">
        <v>0.75106953388835895</v>
      </c>
    </row>
    <row r="343" spans="1:16">
      <c r="A343" s="4" t="s">
        <v>725</v>
      </c>
      <c r="B343" s="4" t="s">
        <v>30</v>
      </c>
      <c r="C343" s="4" t="s">
        <v>726</v>
      </c>
      <c r="D343" s="4" t="s">
        <v>41</v>
      </c>
      <c r="E343" s="4" t="s">
        <v>42</v>
      </c>
      <c r="F343" s="4" t="s">
        <v>724</v>
      </c>
      <c r="G343" s="4">
        <v>1</v>
      </c>
      <c r="H343" s="4">
        <v>398</v>
      </c>
      <c r="I343" s="4">
        <v>64890501</v>
      </c>
      <c r="J343" s="4">
        <v>48</v>
      </c>
      <c r="K343" s="4">
        <v>8.2916666666666696</v>
      </c>
      <c r="L343" s="4">
        <v>1351885.4375</v>
      </c>
      <c r="M343" s="4">
        <v>163041.459798995</v>
      </c>
      <c r="N343" s="4" t="s">
        <v>38</v>
      </c>
      <c r="O343" s="4">
        <v>0.78010820104471101</v>
      </c>
      <c r="P343" s="4">
        <v>0.619187258093572</v>
      </c>
    </row>
    <row r="344" spans="1:16">
      <c r="A344" s="4" t="s">
        <v>727</v>
      </c>
      <c r="B344" s="4" t="s">
        <v>30</v>
      </c>
      <c r="C344" s="4" t="s">
        <v>728</v>
      </c>
      <c r="D344" s="4" t="s">
        <v>41</v>
      </c>
      <c r="E344" s="4" t="s">
        <v>42</v>
      </c>
      <c r="F344" s="4" t="s">
        <v>724</v>
      </c>
      <c r="G344" s="4">
        <v>1</v>
      </c>
      <c r="H344" s="4">
        <v>386</v>
      </c>
      <c r="I344" s="4">
        <v>56006680</v>
      </c>
      <c r="J344" s="4">
        <v>48</v>
      </c>
      <c r="K344" s="4">
        <v>8.0416666666666696</v>
      </c>
      <c r="L344" s="4">
        <v>1166805.83333333</v>
      </c>
      <c r="M344" s="4">
        <v>145095.025906736</v>
      </c>
      <c r="N344" s="4" t="s">
        <v>35</v>
      </c>
      <c r="O344" s="4">
        <v>0.60101841423201696</v>
      </c>
      <c r="P344" s="4">
        <v>0.41073221541788102</v>
      </c>
    </row>
    <row r="345" spans="1:16">
      <c r="A345" s="4" t="s">
        <v>729</v>
      </c>
      <c r="B345" s="4" t="s">
        <v>30</v>
      </c>
      <c r="C345" s="4" t="s">
        <v>730</v>
      </c>
      <c r="D345" s="4" t="s">
        <v>32</v>
      </c>
      <c r="E345" s="4" t="s">
        <v>33</v>
      </c>
      <c r="F345" s="4" t="s">
        <v>724</v>
      </c>
      <c r="G345" s="4">
        <v>1</v>
      </c>
      <c r="H345" s="4">
        <v>395</v>
      </c>
      <c r="I345" s="4">
        <v>50885320</v>
      </c>
      <c r="J345" s="4">
        <v>47</v>
      </c>
      <c r="K345" s="4">
        <v>8.4042553191489393</v>
      </c>
      <c r="L345" s="4">
        <v>1082666.3829787199</v>
      </c>
      <c r="M345" s="4">
        <v>128823.59493670901</v>
      </c>
      <c r="N345" s="4" t="s">
        <v>51</v>
      </c>
      <c r="O345" s="4">
        <v>0.61464278892222801</v>
      </c>
      <c r="P345" s="4">
        <v>0.42146779838129</v>
      </c>
    </row>
    <row r="346" spans="1:16">
      <c r="A346" s="4" t="s">
        <v>731</v>
      </c>
      <c r="B346" s="4" t="s">
        <v>30</v>
      </c>
      <c r="C346" s="4" t="s">
        <v>732</v>
      </c>
      <c r="D346" s="4" t="s">
        <v>32</v>
      </c>
      <c r="E346" s="4" t="s">
        <v>67</v>
      </c>
      <c r="F346" s="4" t="s">
        <v>724</v>
      </c>
      <c r="G346" s="4">
        <v>1</v>
      </c>
      <c r="H346" s="4">
        <v>385</v>
      </c>
      <c r="I346" s="4">
        <v>45939009</v>
      </c>
      <c r="J346" s="4">
        <v>48</v>
      </c>
      <c r="K346" s="4">
        <v>8.0208333333333304</v>
      </c>
      <c r="L346" s="4">
        <v>957062.6875</v>
      </c>
      <c r="M346" s="4">
        <v>119322.101298701</v>
      </c>
      <c r="N346" s="4" t="s">
        <v>51</v>
      </c>
      <c r="O346" s="4">
        <v>0.35463427171448098</v>
      </c>
      <c r="P346" s="4">
        <v>0.23180671407144399</v>
      </c>
    </row>
    <row r="347" spans="1:16">
      <c r="A347" s="4" t="s">
        <v>733</v>
      </c>
      <c r="B347" s="4" t="s">
        <v>30</v>
      </c>
      <c r="C347" s="4" t="s">
        <v>734</v>
      </c>
      <c r="D347" s="4" t="s">
        <v>41</v>
      </c>
      <c r="E347" s="4" t="s">
        <v>42</v>
      </c>
      <c r="F347" s="4" t="s">
        <v>724</v>
      </c>
      <c r="G347" s="4">
        <v>1</v>
      </c>
      <c r="H347" s="4">
        <v>362</v>
      </c>
      <c r="I347" s="4">
        <v>44454616</v>
      </c>
      <c r="J347" s="4">
        <v>48</v>
      </c>
      <c r="K347" s="4">
        <v>7.5416666666666696</v>
      </c>
      <c r="L347" s="4">
        <v>926137.83333333302</v>
      </c>
      <c r="M347" s="4">
        <v>122802.806629834</v>
      </c>
      <c r="N347" s="4" t="s">
        <v>68</v>
      </c>
      <c r="O347" s="4">
        <v>0.70862542148603902</v>
      </c>
      <c r="P347" s="4">
        <v>0.52181482324908501</v>
      </c>
    </row>
    <row r="348" spans="1:16">
      <c r="A348" s="4" t="s">
        <v>735</v>
      </c>
      <c r="B348" s="4" t="s">
        <v>30</v>
      </c>
      <c r="C348" s="4" t="s">
        <v>736</v>
      </c>
      <c r="D348" s="4" t="s">
        <v>41</v>
      </c>
      <c r="E348" s="4" t="s">
        <v>50</v>
      </c>
      <c r="F348" s="4" t="s">
        <v>724</v>
      </c>
      <c r="G348" s="4">
        <v>1</v>
      </c>
      <c r="H348" s="4">
        <v>388</v>
      </c>
      <c r="I348" s="4">
        <v>43779381</v>
      </c>
      <c r="J348" s="4">
        <v>48</v>
      </c>
      <c r="K348" s="4">
        <v>8.0833333333333304</v>
      </c>
      <c r="L348" s="4">
        <v>912070.4375</v>
      </c>
      <c r="M348" s="4">
        <v>112833.456185567</v>
      </c>
      <c r="N348" s="4" t="s">
        <v>35</v>
      </c>
      <c r="O348" s="4">
        <v>0.30489437481996401</v>
      </c>
      <c r="P348" s="4">
        <v>0.229426829065111</v>
      </c>
    </row>
    <row r="349" spans="1:16">
      <c r="A349" s="4" t="s">
        <v>737</v>
      </c>
      <c r="B349" s="4" t="s">
        <v>30</v>
      </c>
      <c r="C349" s="4" t="s">
        <v>738</v>
      </c>
      <c r="D349" s="4" t="s">
        <v>32</v>
      </c>
      <c r="E349" s="4" t="s">
        <v>33</v>
      </c>
      <c r="F349" s="4" t="s">
        <v>724</v>
      </c>
      <c r="G349" s="4">
        <v>1</v>
      </c>
      <c r="H349" s="4">
        <v>358</v>
      </c>
      <c r="I349" s="4">
        <v>43495626</v>
      </c>
      <c r="J349" s="4">
        <v>48</v>
      </c>
      <c r="K349" s="4">
        <v>7.4583333333333304</v>
      </c>
      <c r="L349" s="4">
        <v>906158.875</v>
      </c>
      <c r="M349" s="4">
        <v>121496.162011173</v>
      </c>
      <c r="N349" s="4" t="s">
        <v>38</v>
      </c>
      <c r="O349" s="4">
        <v>0.59610782472701995</v>
      </c>
      <c r="P349" s="4">
        <v>0.39406913208708899</v>
      </c>
    </row>
    <row r="350" spans="1:16">
      <c r="A350" s="4" t="s">
        <v>739</v>
      </c>
      <c r="B350" s="4" t="s">
        <v>30</v>
      </c>
      <c r="C350" s="4" t="s">
        <v>740</v>
      </c>
      <c r="D350" s="4" t="s">
        <v>32</v>
      </c>
      <c r="E350" s="4" t="s">
        <v>33</v>
      </c>
      <c r="F350" s="4" t="s">
        <v>724</v>
      </c>
      <c r="G350" s="4">
        <v>1</v>
      </c>
      <c r="H350" s="4">
        <v>420</v>
      </c>
      <c r="I350" s="4">
        <v>42066659.968051098</v>
      </c>
      <c r="J350" s="4">
        <v>48</v>
      </c>
      <c r="K350" s="4">
        <v>8.75</v>
      </c>
      <c r="L350" s="4">
        <v>876388.74933439796</v>
      </c>
      <c r="M350" s="4">
        <v>100158.714209646</v>
      </c>
      <c r="N350" s="4" t="s">
        <v>38</v>
      </c>
      <c r="O350" s="4">
        <v>0.74503644985846496</v>
      </c>
      <c r="P350" s="4">
        <v>0.56981617097976101</v>
      </c>
    </row>
    <row r="351" spans="1:16">
      <c r="A351" s="4" t="s">
        <v>741</v>
      </c>
      <c r="B351" s="4" t="s">
        <v>30</v>
      </c>
      <c r="C351" s="4" t="s">
        <v>742</v>
      </c>
      <c r="D351" s="4" t="s">
        <v>41</v>
      </c>
      <c r="E351" s="4" t="s">
        <v>42</v>
      </c>
      <c r="F351" s="4" t="s">
        <v>724</v>
      </c>
      <c r="G351" s="4">
        <v>1</v>
      </c>
      <c r="H351" s="4">
        <v>385</v>
      </c>
      <c r="I351" s="4">
        <v>41514215</v>
      </c>
      <c r="J351" s="4">
        <v>48</v>
      </c>
      <c r="K351" s="4">
        <v>8.0208333333333304</v>
      </c>
      <c r="L351" s="4">
        <v>864879.47916666698</v>
      </c>
      <c r="M351" s="4">
        <v>107829.12987013</v>
      </c>
      <c r="N351" s="4" t="s">
        <v>51</v>
      </c>
      <c r="O351" s="4">
        <v>0.63343789591107502</v>
      </c>
      <c r="P351" s="4">
        <v>0.446624172080679</v>
      </c>
    </row>
    <row r="352" spans="1:16">
      <c r="A352" s="4" t="s">
        <v>743</v>
      </c>
      <c r="B352" s="4" t="s">
        <v>30</v>
      </c>
      <c r="C352" s="4" t="s">
        <v>744</v>
      </c>
      <c r="D352" s="4" t="s">
        <v>32</v>
      </c>
      <c r="E352" s="4" t="s">
        <v>33</v>
      </c>
      <c r="F352" s="4" t="s">
        <v>724</v>
      </c>
      <c r="G352" s="4">
        <v>1</v>
      </c>
      <c r="H352" s="4">
        <v>421</v>
      </c>
      <c r="I352" s="4">
        <v>40796789</v>
      </c>
      <c r="J352" s="4">
        <v>48</v>
      </c>
      <c r="K352" s="4">
        <v>8.7708333333333304</v>
      </c>
      <c r="L352" s="4">
        <v>849933.10416666698</v>
      </c>
      <c r="M352" s="4">
        <v>96904.486935866997</v>
      </c>
      <c r="N352" s="4" t="s">
        <v>51</v>
      </c>
      <c r="O352" s="4">
        <v>0.58793693297773997</v>
      </c>
      <c r="P352" s="4">
        <v>0.38750412784177402</v>
      </c>
    </row>
    <row r="353" spans="1:16">
      <c r="A353" s="4" t="s">
        <v>745</v>
      </c>
      <c r="B353" s="4" t="s">
        <v>30</v>
      </c>
      <c r="C353" s="4" t="s">
        <v>746</v>
      </c>
      <c r="D353" s="4" t="s">
        <v>41</v>
      </c>
      <c r="E353" s="4" t="s">
        <v>42</v>
      </c>
      <c r="F353" s="4" t="s">
        <v>724</v>
      </c>
      <c r="G353" s="4">
        <v>1</v>
      </c>
      <c r="H353" s="4">
        <v>392</v>
      </c>
      <c r="I353" s="4">
        <v>40464749</v>
      </c>
      <c r="J353" s="4">
        <v>48</v>
      </c>
      <c r="K353" s="4">
        <v>8.1666666666666696</v>
      </c>
      <c r="L353" s="4">
        <v>843015.60416666698</v>
      </c>
      <c r="M353" s="4">
        <v>103226.400510204</v>
      </c>
      <c r="N353" s="4" t="s">
        <v>68</v>
      </c>
      <c r="O353" s="4">
        <v>0.38508146930554299</v>
      </c>
      <c r="P353" s="4">
        <v>0.27605045599879302</v>
      </c>
    </row>
    <row r="354" spans="1:16">
      <c r="A354" s="4" t="s">
        <v>747</v>
      </c>
      <c r="B354" s="4" t="s">
        <v>30</v>
      </c>
      <c r="C354" s="4" t="s">
        <v>748</v>
      </c>
      <c r="D354" s="4" t="s">
        <v>32</v>
      </c>
      <c r="E354" s="4" t="s">
        <v>33</v>
      </c>
      <c r="F354" s="4" t="s">
        <v>724</v>
      </c>
      <c r="G354" s="4">
        <v>1</v>
      </c>
      <c r="H354" s="4">
        <v>369</v>
      </c>
      <c r="I354" s="4">
        <v>40355816</v>
      </c>
      <c r="J354" s="4">
        <v>48</v>
      </c>
      <c r="K354" s="4">
        <v>7.6875</v>
      </c>
      <c r="L354" s="4">
        <v>840746.16666666698</v>
      </c>
      <c r="M354" s="4">
        <v>109365.35501355</v>
      </c>
      <c r="N354" s="4" t="s">
        <v>51</v>
      </c>
      <c r="O354" s="4">
        <v>0.60114281916638701</v>
      </c>
      <c r="P354" s="4">
        <v>0.40997361144823602</v>
      </c>
    </row>
    <row r="355" spans="1:16">
      <c r="A355" s="4" t="s">
        <v>749</v>
      </c>
      <c r="B355" s="4" t="s">
        <v>30</v>
      </c>
      <c r="C355" s="4" t="s">
        <v>750</v>
      </c>
      <c r="D355" s="4" t="s">
        <v>32</v>
      </c>
      <c r="E355" s="4" t="s">
        <v>33</v>
      </c>
      <c r="F355" s="4" t="s">
        <v>724</v>
      </c>
      <c r="G355" s="4">
        <v>1</v>
      </c>
      <c r="H355" s="4">
        <v>396</v>
      </c>
      <c r="I355" s="4">
        <v>37935553</v>
      </c>
      <c r="J355" s="4">
        <v>48</v>
      </c>
      <c r="K355" s="4">
        <v>8.25</v>
      </c>
      <c r="L355" s="4">
        <v>790324.02083333302</v>
      </c>
      <c r="M355" s="4">
        <v>95796.851010101003</v>
      </c>
      <c r="N355" s="4" t="s">
        <v>35</v>
      </c>
      <c r="O355" s="4">
        <v>0.55528999405913504</v>
      </c>
      <c r="P355" s="4">
        <v>0.35066747512111501</v>
      </c>
    </row>
    <row r="356" spans="1:16">
      <c r="A356" s="4" t="s">
        <v>751</v>
      </c>
      <c r="B356" s="4" t="s">
        <v>30</v>
      </c>
      <c r="C356" s="4" t="s">
        <v>752</v>
      </c>
      <c r="D356" s="4" t="s">
        <v>41</v>
      </c>
      <c r="E356" s="4" t="s">
        <v>42</v>
      </c>
      <c r="F356" s="4" t="s">
        <v>724</v>
      </c>
      <c r="G356" s="4">
        <v>1</v>
      </c>
      <c r="H356" s="4">
        <v>377</v>
      </c>
      <c r="I356" s="4">
        <v>37465602</v>
      </c>
      <c r="J356" s="4">
        <v>48</v>
      </c>
      <c r="K356" s="4">
        <v>7.8541666666666696</v>
      </c>
      <c r="L356" s="4">
        <v>780533.375</v>
      </c>
      <c r="M356" s="4">
        <v>99378.254641909807</v>
      </c>
      <c r="N356" s="4" t="s">
        <v>68</v>
      </c>
      <c r="O356" s="4">
        <v>0.52917313326501503</v>
      </c>
      <c r="P356" s="4">
        <v>0.352690998169155</v>
      </c>
    </row>
    <row r="357" spans="1:16">
      <c r="A357" s="4" t="s">
        <v>753</v>
      </c>
      <c r="B357" s="4" t="s">
        <v>30</v>
      </c>
      <c r="C357" s="4" t="s">
        <v>754</v>
      </c>
      <c r="D357" s="4" t="s">
        <v>41</v>
      </c>
      <c r="E357" s="4" t="s">
        <v>42</v>
      </c>
      <c r="F357" s="4" t="s">
        <v>724</v>
      </c>
      <c r="G357" s="4">
        <v>1</v>
      </c>
      <c r="H357" s="4">
        <v>379</v>
      </c>
      <c r="I357" s="4">
        <v>37181108</v>
      </c>
      <c r="J357" s="4">
        <v>48</v>
      </c>
      <c r="K357" s="4">
        <v>7.8958333333333304</v>
      </c>
      <c r="L357" s="4">
        <v>774606.41666666698</v>
      </c>
      <c r="M357" s="4">
        <v>98103.187335092298</v>
      </c>
      <c r="N357" s="4" t="s">
        <v>47</v>
      </c>
      <c r="O357" s="4">
        <v>0.53967861850701204</v>
      </c>
      <c r="P357" s="4">
        <v>0.359125422433902</v>
      </c>
    </row>
    <row r="358" spans="1:16">
      <c r="A358" s="4" t="s">
        <v>755</v>
      </c>
      <c r="B358" s="4" t="s">
        <v>30</v>
      </c>
      <c r="C358" s="4" t="s">
        <v>756</v>
      </c>
      <c r="D358" s="4" t="s">
        <v>32</v>
      </c>
      <c r="E358" s="4" t="s">
        <v>33</v>
      </c>
      <c r="F358" s="4" t="s">
        <v>724</v>
      </c>
      <c r="G358" s="4">
        <v>1</v>
      </c>
      <c r="H358" s="4">
        <v>387</v>
      </c>
      <c r="I358" s="4">
        <v>37037760</v>
      </c>
      <c r="J358" s="4">
        <v>48</v>
      </c>
      <c r="K358" s="4">
        <v>8.0625</v>
      </c>
      <c r="L358" s="4">
        <v>771620</v>
      </c>
      <c r="M358" s="4">
        <v>95704.806201550397</v>
      </c>
      <c r="N358" s="4" t="s">
        <v>38</v>
      </c>
      <c r="O358" s="4">
        <v>0.72005180658873502</v>
      </c>
      <c r="P358" s="4">
        <v>0.53647737454549405</v>
      </c>
    </row>
    <row r="359" spans="1:16">
      <c r="A359" s="4" t="s">
        <v>757</v>
      </c>
      <c r="B359" s="4" t="s">
        <v>30</v>
      </c>
      <c r="C359" s="4" t="s">
        <v>758</v>
      </c>
      <c r="D359" s="4" t="s">
        <v>41</v>
      </c>
      <c r="E359" s="4" t="s">
        <v>42</v>
      </c>
      <c r="F359" s="4" t="s">
        <v>724</v>
      </c>
      <c r="G359" s="4">
        <v>1</v>
      </c>
      <c r="H359" s="4">
        <v>365</v>
      </c>
      <c r="I359" s="4">
        <v>36767294</v>
      </c>
      <c r="J359" s="4">
        <v>48</v>
      </c>
      <c r="K359" s="4">
        <v>7.6041666666666696</v>
      </c>
      <c r="L359" s="4">
        <v>765985.29166666698</v>
      </c>
      <c r="M359" s="4">
        <v>100732.312328767</v>
      </c>
      <c r="N359" s="4" t="s">
        <v>35</v>
      </c>
      <c r="O359" s="4">
        <v>0.52080329871434095</v>
      </c>
      <c r="P359" s="4">
        <v>0.32690108873958901</v>
      </c>
    </row>
    <row r="360" spans="1:16">
      <c r="A360" s="4" t="s">
        <v>759</v>
      </c>
      <c r="B360" s="4" t="s">
        <v>30</v>
      </c>
      <c r="C360" s="4" t="s">
        <v>760</v>
      </c>
      <c r="D360" s="4" t="s">
        <v>41</v>
      </c>
      <c r="E360" s="4" t="s">
        <v>50</v>
      </c>
      <c r="F360" s="4" t="s">
        <v>724</v>
      </c>
      <c r="G360" s="4">
        <v>1</v>
      </c>
      <c r="H360" s="4">
        <v>387</v>
      </c>
      <c r="I360" s="4">
        <v>36479210</v>
      </c>
      <c r="J360" s="4">
        <v>48</v>
      </c>
      <c r="K360" s="4">
        <v>8.0625</v>
      </c>
      <c r="L360" s="4">
        <v>759983.54166666698</v>
      </c>
      <c r="M360" s="4">
        <v>94261.524547803594</v>
      </c>
      <c r="N360" s="4" t="s">
        <v>38</v>
      </c>
      <c r="O360" s="4">
        <v>0.618613012726975</v>
      </c>
      <c r="P360" s="4">
        <v>0.415773315572119</v>
      </c>
    </row>
    <row r="361" spans="1:16">
      <c r="A361" s="4" t="s">
        <v>761</v>
      </c>
      <c r="B361" s="4" t="s">
        <v>30</v>
      </c>
      <c r="C361" s="4" t="s">
        <v>762</v>
      </c>
      <c r="D361" s="4" t="s">
        <v>41</v>
      </c>
      <c r="E361" s="4" t="s">
        <v>50</v>
      </c>
      <c r="F361" s="4" t="s">
        <v>724</v>
      </c>
      <c r="G361" s="4">
        <v>1</v>
      </c>
      <c r="H361" s="4">
        <v>410</v>
      </c>
      <c r="I361" s="4">
        <v>36209584</v>
      </c>
      <c r="J361" s="4">
        <v>48</v>
      </c>
      <c r="K361" s="4">
        <v>8.5416666666666696</v>
      </c>
      <c r="L361" s="4">
        <v>754366.33333333302</v>
      </c>
      <c r="M361" s="4">
        <v>88316.058536585406</v>
      </c>
      <c r="N361" s="4" t="s">
        <v>68</v>
      </c>
      <c r="O361" s="4">
        <v>0.49766376769200099</v>
      </c>
      <c r="P361" s="4">
        <v>0.31767450132424702</v>
      </c>
    </row>
    <row r="362" spans="1:16">
      <c r="A362" s="4" t="s">
        <v>763</v>
      </c>
      <c r="B362" s="4" t="s">
        <v>30</v>
      </c>
      <c r="C362" s="4" t="s">
        <v>764</v>
      </c>
      <c r="D362" s="4" t="s">
        <v>41</v>
      </c>
      <c r="E362" s="4" t="s">
        <v>50</v>
      </c>
      <c r="F362" s="4" t="s">
        <v>724</v>
      </c>
      <c r="G362" s="4">
        <v>1</v>
      </c>
      <c r="H362" s="4">
        <v>429</v>
      </c>
      <c r="I362" s="4">
        <v>36155634</v>
      </c>
      <c r="J362" s="4">
        <v>48</v>
      </c>
      <c r="K362" s="4">
        <v>8.9375</v>
      </c>
      <c r="L362" s="4">
        <v>753242.375</v>
      </c>
      <c r="M362" s="4">
        <v>84278.867132867104</v>
      </c>
      <c r="N362" s="4" t="s">
        <v>68</v>
      </c>
      <c r="O362" s="4">
        <v>0.53006745781307596</v>
      </c>
      <c r="P362" s="4">
        <v>0.33155834497671099</v>
      </c>
    </row>
    <row r="363" spans="1:16">
      <c r="A363" s="4" t="s">
        <v>765</v>
      </c>
      <c r="B363" s="4" t="s">
        <v>30</v>
      </c>
      <c r="C363" s="4" t="s">
        <v>766</v>
      </c>
      <c r="D363" s="4" t="s">
        <v>41</v>
      </c>
      <c r="E363" s="4" t="s">
        <v>50</v>
      </c>
      <c r="F363" s="4" t="s">
        <v>724</v>
      </c>
      <c r="G363" s="4">
        <v>1</v>
      </c>
      <c r="H363" s="4">
        <v>417</v>
      </c>
      <c r="I363" s="4">
        <v>36107411</v>
      </c>
      <c r="J363" s="4">
        <v>48</v>
      </c>
      <c r="K363" s="4">
        <v>8.6875</v>
      </c>
      <c r="L363" s="4">
        <v>752237.72916666698</v>
      </c>
      <c r="M363" s="4">
        <v>86588.515587529997</v>
      </c>
      <c r="N363" s="4" t="s">
        <v>35</v>
      </c>
      <c r="O363" s="4">
        <v>0.27529495260682102</v>
      </c>
      <c r="P363" s="4">
        <v>0.20609912685079201</v>
      </c>
    </row>
    <row r="364" spans="1:16">
      <c r="A364" s="4" t="s">
        <v>767</v>
      </c>
      <c r="B364" s="4" t="s">
        <v>30</v>
      </c>
      <c r="C364" s="4" t="s">
        <v>768</v>
      </c>
      <c r="D364" s="4" t="s">
        <v>41</v>
      </c>
      <c r="E364" s="4" t="s">
        <v>50</v>
      </c>
      <c r="F364" s="4" t="s">
        <v>724</v>
      </c>
      <c r="G364" s="4">
        <v>1</v>
      </c>
      <c r="H364" s="4">
        <v>410</v>
      </c>
      <c r="I364" s="4">
        <v>35118268</v>
      </c>
      <c r="J364" s="4">
        <v>48</v>
      </c>
      <c r="K364" s="4">
        <v>8.5416666666666696</v>
      </c>
      <c r="L364" s="4">
        <v>731630.58333333302</v>
      </c>
      <c r="M364" s="4">
        <v>85654.312195121995</v>
      </c>
      <c r="N364" s="4" t="s">
        <v>38</v>
      </c>
      <c r="O364" s="4">
        <v>0.34681755945367199</v>
      </c>
      <c r="P364" s="4">
        <v>0.22249690368090899</v>
      </c>
    </row>
    <row r="365" spans="1:16">
      <c r="A365" s="4" t="s">
        <v>769</v>
      </c>
      <c r="B365" s="4" t="s">
        <v>30</v>
      </c>
      <c r="C365" s="4" t="s">
        <v>770</v>
      </c>
      <c r="D365" s="4" t="s">
        <v>32</v>
      </c>
      <c r="E365" s="4" t="s">
        <v>67</v>
      </c>
      <c r="F365" s="4" t="s">
        <v>724</v>
      </c>
      <c r="G365" s="4">
        <v>1</v>
      </c>
      <c r="H365" s="4">
        <v>425</v>
      </c>
      <c r="I365" s="4">
        <v>34834844</v>
      </c>
      <c r="J365" s="4">
        <v>48</v>
      </c>
      <c r="K365" s="4">
        <v>8.8541666666666696</v>
      </c>
      <c r="L365" s="4">
        <v>725725.91666666698</v>
      </c>
      <c r="M365" s="4">
        <v>81964.338823529397</v>
      </c>
      <c r="N365" s="4" t="s">
        <v>47</v>
      </c>
      <c r="O365" s="4">
        <v>0.469768229764428</v>
      </c>
      <c r="P365" s="4">
        <v>0.286145879977797</v>
      </c>
    </row>
    <row r="366" spans="1:16">
      <c r="A366" s="4" t="s">
        <v>771</v>
      </c>
      <c r="B366" s="4" t="s">
        <v>30</v>
      </c>
      <c r="C366" s="4" t="s">
        <v>772</v>
      </c>
      <c r="D366" s="4" t="s">
        <v>32</v>
      </c>
      <c r="E366" s="4" t="s">
        <v>67</v>
      </c>
      <c r="F366" s="4" t="s">
        <v>724</v>
      </c>
      <c r="G366" s="4">
        <v>1</v>
      </c>
      <c r="H366" s="4">
        <v>417</v>
      </c>
      <c r="I366" s="4">
        <v>34834444</v>
      </c>
      <c r="J366" s="4">
        <v>48</v>
      </c>
      <c r="K366" s="4">
        <v>8.6875</v>
      </c>
      <c r="L366" s="4">
        <v>725717.58333333302</v>
      </c>
      <c r="M366" s="4">
        <v>83535.836930455596</v>
      </c>
      <c r="N366" s="4" t="s">
        <v>38</v>
      </c>
      <c r="O366" s="4">
        <v>0.43131229538212201</v>
      </c>
      <c r="P366" s="4">
        <v>0.26494175542044501</v>
      </c>
    </row>
    <row r="367" spans="1:16">
      <c r="A367" s="4" t="s">
        <v>773</v>
      </c>
      <c r="B367" s="4" t="s">
        <v>30</v>
      </c>
      <c r="C367" s="4" t="s">
        <v>774</v>
      </c>
      <c r="D367" s="4" t="s">
        <v>41</v>
      </c>
      <c r="E367" s="4" t="s">
        <v>42</v>
      </c>
      <c r="F367" s="4" t="s">
        <v>724</v>
      </c>
      <c r="G367" s="4">
        <v>1</v>
      </c>
      <c r="H367" s="4">
        <v>390</v>
      </c>
      <c r="I367" s="4">
        <v>34635271</v>
      </c>
      <c r="J367" s="4">
        <v>48</v>
      </c>
      <c r="K367" s="4">
        <v>8.125</v>
      </c>
      <c r="L367" s="4">
        <v>721568.14583333302</v>
      </c>
      <c r="M367" s="4">
        <v>88808.387179487196</v>
      </c>
      <c r="N367" s="4" t="s">
        <v>35</v>
      </c>
      <c r="O367" s="4">
        <v>0.39597648882262299</v>
      </c>
      <c r="P367" s="4">
        <v>0.24973737733180701</v>
      </c>
    </row>
    <row r="368" spans="1:16">
      <c r="A368" s="4" t="s">
        <v>775</v>
      </c>
      <c r="B368" s="4" t="s">
        <v>30</v>
      </c>
      <c r="C368" s="4" t="s">
        <v>776</v>
      </c>
      <c r="D368" s="4" t="s">
        <v>41</v>
      </c>
      <c r="E368" s="4" t="s">
        <v>50</v>
      </c>
      <c r="F368" s="4" t="s">
        <v>724</v>
      </c>
      <c r="G368" s="4">
        <v>1</v>
      </c>
      <c r="H368" s="4">
        <v>405</v>
      </c>
      <c r="I368" s="4">
        <v>34539524</v>
      </c>
      <c r="J368" s="4">
        <v>48</v>
      </c>
      <c r="K368" s="4">
        <v>8.4375</v>
      </c>
      <c r="L368" s="4">
        <v>719573.41666666698</v>
      </c>
      <c r="M368" s="4">
        <v>85282.775308641998</v>
      </c>
      <c r="N368" s="4" t="s">
        <v>38</v>
      </c>
      <c r="O368" s="4">
        <v>0.281206538920455</v>
      </c>
      <c r="P368" s="4">
        <v>0.20987001422033899</v>
      </c>
    </row>
    <row r="369" spans="1:16">
      <c r="A369" s="4" t="s">
        <v>777</v>
      </c>
      <c r="B369" s="4" t="s">
        <v>30</v>
      </c>
      <c r="C369" s="4" t="s">
        <v>778</v>
      </c>
      <c r="D369" s="4" t="s">
        <v>41</v>
      </c>
      <c r="E369" s="4" t="s">
        <v>50</v>
      </c>
      <c r="F369" s="4" t="s">
        <v>724</v>
      </c>
      <c r="G369" s="4">
        <v>1</v>
      </c>
      <c r="H369" s="4">
        <v>404</v>
      </c>
      <c r="I369" s="4">
        <v>33961522</v>
      </c>
      <c r="J369" s="4">
        <v>48</v>
      </c>
      <c r="K369" s="4">
        <v>8.4166666666666696</v>
      </c>
      <c r="L369" s="4">
        <v>707531.70833333302</v>
      </c>
      <c r="M369" s="4">
        <v>84063.173267326696</v>
      </c>
      <c r="N369" s="4" t="s">
        <v>35</v>
      </c>
      <c r="O369" s="4">
        <v>0.31167119070811999</v>
      </c>
      <c r="P369" s="4">
        <v>0.21399518775770901</v>
      </c>
    </row>
    <row r="370" spans="1:16">
      <c r="A370" s="4" t="s">
        <v>779</v>
      </c>
      <c r="B370" s="4" t="s">
        <v>30</v>
      </c>
      <c r="C370" s="4" t="s">
        <v>780</v>
      </c>
      <c r="D370" s="4" t="s">
        <v>32</v>
      </c>
      <c r="E370" s="4" t="s">
        <v>67</v>
      </c>
      <c r="F370" s="4" t="s">
        <v>724</v>
      </c>
      <c r="G370" s="4">
        <v>1</v>
      </c>
      <c r="H370" s="4">
        <v>389</v>
      </c>
      <c r="I370" s="4">
        <v>33714954</v>
      </c>
      <c r="J370" s="4">
        <v>48</v>
      </c>
      <c r="K370" s="4">
        <v>8.1041666666666696</v>
      </c>
      <c r="L370" s="4">
        <v>702394.875</v>
      </c>
      <c r="M370" s="4">
        <v>86670.832904884301</v>
      </c>
      <c r="N370" s="4" t="s">
        <v>51</v>
      </c>
      <c r="O370" s="4">
        <v>0.54362162261885305</v>
      </c>
      <c r="P370" s="4">
        <v>0.348956854654288</v>
      </c>
    </row>
    <row r="371" spans="1:16">
      <c r="A371" s="4" t="s">
        <v>781</v>
      </c>
      <c r="B371" s="4" t="s">
        <v>30</v>
      </c>
      <c r="C371" s="4" t="s">
        <v>782</v>
      </c>
      <c r="D371" s="4" t="s">
        <v>32</v>
      </c>
      <c r="E371" s="4" t="s">
        <v>33</v>
      </c>
      <c r="F371" s="4" t="s">
        <v>724</v>
      </c>
      <c r="G371" s="4">
        <v>1</v>
      </c>
      <c r="H371" s="4">
        <v>355</v>
      </c>
      <c r="I371" s="4">
        <v>33261230.341853</v>
      </c>
      <c r="J371" s="4">
        <v>48</v>
      </c>
      <c r="K371" s="4">
        <v>7.3958333333333304</v>
      </c>
      <c r="L371" s="4">
        <v>692942.29878860503</v>
      </c>
      <c r="M371" s="4">
        <v>93693.606596769096</v>
      </c>
      <c r="N371" s="4" t="s">
        <v>54</v>
      </c>
      <c r="O371" s="4">
        <v>0.47262755581891702</v>
      </c>
      <c r="P371" s="4">
        <v>0.28462355858839899</v>
      </c>
    </row>
    <row r="372" spans="1:16">
      <c r="A372" s="4" t="s">
        <v>783</v>
      </c>
      <c r="B372" s="4" t="s">
        <v>30</v>
      </c>
      <c r="C372" s="4" t="s">
        <v>784</v>
      </c>
      <c r="D372" s="4" t="s">
        <v>41</v>
      </c>
      <c r="E372" s="4" t="s">
        <v>50</v>
      </c>
      <c r="F372" s="4" t="s">
        <v>724</v>
      </c>
      <c r="G372" s="4">
        <v>1</v>
      </c>
      <c r="H372" s="4">
        <v>393</v>
      </c>
      <c r="I372" s="4">
        <v>33097541</v>
      </c>
      <c r="J372" s="4">
        <v>48</v>
      </c>
      <c r="K372" s="4">
        <v>8.1875</v>
      </c>
      <c r="L372" s="4">
        <v>689532.10416666698</v>
      </c>
      <c r="M372" s="4">
        <v>84217.661577608204</v>
      </c>
      <c r="N372" s="4" t="s">
        <v>38</v>
      </c>
      <c r="O372" s="4">
        <v>0.37112980689411301</v>
      </c>
      <c r="P372" s="4">
        <v>0.22863595534513001</v>
      </c>
    </row>
    <row r="373" spans="1:16">
      <c r="A373" s="4" t="s">
        <v>785</v>
      </c>
      <c r="B373" s="4" t="s">
        <v>30</v>
      </c>
      <c r="C373" s="4" t="s">
        <v>786</v>
      </c>
      <c r="D373" s="4" t="s">
        <v>41</v>
      </c>
      <c r="E373" s="4" t="s">
        <v>50</v>
      </c>
      <c r="F373" s="4" t="s">
        <v>724</v>
      </c>
      <c r="G373" s="4">
        <v>1</v>
      </c>
      <c r="H373" s="4">
        <v>392</v>
      </c>
      <c r="I373" s="4">
        <v>33075207</v>
      </c>
      <c r="J373" s="4">
        <v>48</v>
      </c>
      <c r="K373" s="4">
        <v>8.1666666666666696</v>
      </c>
      <c r="L373" s="4">
        <v>689066.8125</v>
      </c>
      <c r="M373" s="4">
        <v>84375.528061224497</v>
      </c>
      <c r="N373" s="4" t="s">
        <v>54</v>
      </c>
      <c r="O373" s="4">
        <v>0.64109920763307704</v>
      </c>
      <c r="P373" s="4">
        <v>0.441676205335918</v>
      </c>
    </row>
    <row r="374" spans="1:16">
      <c r="A374" s="4" t="s">
        <v>787</v>
      </c>
      <c r="B374" s="4" t="s">
        <v>30</v>
      </c>
      <c r="C374" s="4" t="s">
        <v>788</v>
      </c>
      <c r="D374" s="4" t="s">
        <v>41</v>
      </c>
      <c r="E374" s="4" t="s">
        <v>42</v>
      </c>
      <c r="F374" s="4" t="s">
        <v>724</v>
      </c>
      <c r="G374" s="4">
        <v>1</v>
      </c>
      <c r="H374" s="4">
        <v>407</v>
      </c>
      <c r="I374" s="4">
        <v>31642569</v>
      </c>
      <c r="J374" s="4">
        <v>48</v>
      </c>
      <c r="K374" s="4">
        <v>8.4791666666666696</v>
      </c>
      <c r="L374" s="4">
        <v>659220.1875</v>
      </c>
      <c r="M374" s="4">
        <v>77745.869778869805</v>
      </c>
      <c r="N374" s="4" t="s">
        <v>54</v>
      </c>
      <c r="O374" s="4">
        <v>0.51106482536231501</v>
      </c>
      <c r="P374" s="4">
        <v>0.326104701849185</v>
      </c>
    </row>
    <row r="375" spans="1:16">
      <c r="A375" s="4" t="s">
        <v>789</v>
      </c>
      <c r="B375" s="4" t="s">
        <v>30</v>
      </c>
      <c r="C375" s="4" t="s">
        <v>790</v>
      </c>
      <c r="D375" s="4" t="s">
        <v>32</v>
      </c>
      <c r="E375" s="4" t="s">
        <v>67</v>
      </c>
      <c r="F375" s="4" t="s">
        <v>724</v>
      </c>
      <c r="G375" s="4">
        <v>1</v>
      </c>
      <c r="H375" s="4">
        <v>404</v>
      </c>
      <c r="I375" s="4">
        <v>31550539</v>
      </c>
      <c r="J375" s="4">
        <v>48</v>
      </c>
      <c r="K375" s="4">
        <v>8.4166666666666696</v>
      </c>
      <c r="L375" s="4">
        <v>657302.89583333302</v>
      </c>
      <c r="M375" s="4">
        <v>78095.393564356404</v>
      </c>
      <c r="N375" s="4" t="s">
        <v>47</v>
      </c>
      <c r="O375" s="4">
        <v>0.48747183051294302</v>
      </c>
      <c r="P375" s="4">
        <v>0.29711422018552902</v>
      </c>
    </row>
    <row r="376" spans="1:16">
      <c r="A376" s="4" t="s">
        <v>791</v>
      </c>
      <c r="B376" s="4" t="s">
        <v>30</v>
      </c>
      <c r="C376" s="4" t="s">
        <v>792</v>
      </c>
      <c r="D376" s="4" t="s">
        <v>32</v>
      </c>
      <c r="E376" s="4" t="s">
        <v>33</v>
      </c>
      <c r="F376" s="4" t="s">
        <v>724</v>
      </c>
      <c r="G376" s="4">
        <v>1</v>
      </c>
      <c r="H376" s="4">
        <v>378</v>
      </c>
      <c r="I376" s="4">
        <v>31085593</v>
      </c>
      <c r="J376" s="4">
        <v>48</v>
      </c>
      <c r="K376" s="4">
        <v>7.875</v>
      </c>
      <c r="L376" s="4">
        <v>647616.52083333302</v>
      </c>
      <c r="M376" s="4">
        <v>82237.018518518496</v>
      </c>
      <c r="N376" s="4" t="s">
        <v>51</v>
      </c>
      <c r="O376" s="4">
        <v>0.59964247746536503</v>
      </c>
      <c r="P376" s="4">
        <v>0.39756197976873497</v>
      </c>
    </row>
    <row r="377" spans="1:16">
      <c r="A377" s="4" t="s">
        <v>793</v>
      </c>
      <c r="B377" s="4" t="s">
        <v>30</v>
      </c>
      <c r="C377" s="4" t="s">
        <v>794</v>
      </c>
      <c r="D377" s="4" t="s">
        <v>32</v>
      </c>
      <c r="E377" s="4" t="s">
        <v>33</v>
      </c>
      <c r="F377" s="4" t="s">
        <v>724</v>
      </c>
      <c r="G377" s="4">
        <v>1</v>
      </c>
      <c r="H377" s="4">
        <v>366</v>
      </c>
      <c r="I377" s="4">
        <v>31072449</v>
      </c>
      <c r="J377" s="4">
        <v>48</v>
      </c>
      <c r="K377" s="4">
        <v>7.625</v>
      </c>
      <c r="L377" s="4">
        <v>647342.6875</v>
      </c>
      <c r="M377" s="4">
        <v>84897.401639344302</v>
      </c>
      <c r="N377" s="4" t="s">
        <v>35</v>
      </c>
      <c r="O377" s="4">
        <v>0.38346485016356502</v>
      </c>
      <c r="P377" s="4">
        <v>0.232786686809316</v>
      </c>
    </row>
    <row r="378" spans="1:16">
      <c r="A378" s="4" t="s">
        <v>795</v>
      </c>
      <c r="B378" s="4" t="s">
        <v>30</v>
      </c>
      <c r="C378" s="4" t="s">
        <v>796</v>
      </c>
      <c r="D378" s="4" t="s">
        <v>32</v>
      </c>
      <c r="E378" s="4" t="s">
        <v>67</v>
      </c>
      <c r="F378" s="4" t="s">
        <v>724</v>
      </c>
      <c r="G378" s="4">
        <v>1</v>
      </c>
      <c r="H378" s="4">
        <v>397</v>
      </c>
      <c r="I378" s="4">
        <v>31069500</v>
      </c>
      <c r="J378" s="4">
        <v>48</v>
      </c>
      <c r="K378" s="4">
        <v>8.2708333333333304</v>
      </c>
      <c r="L378" s="4">
        <v>647281.25</v>
      </c>
      <c r="M378" s="4">
        <v>78260.705289672595</v>
      </c>
      <c r="N378" s="4" t="s">
        <v>51</v>
      </c>
      <c r="O378" s="4">
        <v>0.68355016978065297</v>
      </c>
      <c r="P378" s="4">
        <v>0.48938022481631999</v>
      </c>
    </row>
    <row r="379" spans="1:16">
      <c r="A379" s="4" t="s">
        <v>797</v>
      </c>
      <c r="B379" s="4" t="s">
        <v>30</v>
      </c>
      <c r="C379" s="4" t="s">
        <v>798</v>
      </c>
      <c r="D379" s="4" t="s">
        <v>41</v>
      </c>
      <c r="E379" s="4" t="s">
        <v>42</v>
      </c>
      <c r="F379" s="4" t="s">
        <v>724</v>
      </c>
      <c r="G379" s="4">
        <v>1</v>
      </c>
      <c r="H379" s="4">
        <v>372</v>
      </c>
      <c r="I379" s="4">
        <v>30914624</v>
      </c>
      <c r="J379" s="4">
        <v>48</v>
      </c>
      <c r="K379" s="4">
        <v>7.75</v>
      </c>
      <c r="L379" s="4">
        <v>644054.66666666698</v>
      </c>
      <c r="M379" s="4">
        <v>83103.827956989306</v>
      </c>
      <c r="N379" s="4" t="s">
        <v>47</v>
      </c>
      <c r="O379" s="4">
        <v>0.41170854932604101</v>
      </c>
      <c r="P379" s="4">
        <v>0.248450134900008</v>
      </c>
    </row>
    <row r="380" spans="1:16">
      <c r="A380" s="4" t="s">
        <v>799</v>
      </c>
      <c r="B380" s="4" t="s">
        <v>30</v>
      </c>
      <c r="C380" s="4" t="s">
        <v>800</v>
      </c>
      <c r="D380" s="4" t="s">
        <v>41</v>
      </c>
      <c r="E380" s="4" t="s">
        <v>50</v>
      </c>
      <c r="F380" s="4" t="s">
        <v>724</v>
      </c>
      <c r="G380" s="4">
        <v>1</v>
      </c>
      <c r="H380" s="4">
        <v>403</v>
      </c>
      <c r="I380" s="4">
        <v>30887275</v>
      </c>
      <c r="J380" s="4">
        <v>48</v>
      </c>
      <c r="K380" s="4">
        <v>8.3958333333333304</v>
      </c>
      <c r="L380" s="4">
        <v>643484.89583333302</v>
      </c>
      <c r="M380" s="4">
        <v>76643.362282878399</v>
      </c>
      <c r="N380" s="4" t="s">
        <v>47</v>
      </c>
      <c r="O380" s="4">
        <v>0.43671690040639699</v>
      </c>
      <c r="P380" s="4">
        <v>0.27494922787777998</v>
      </c>
    </row>
    <row r="381" spans="1:16">
      <c r="A381" s="4" t="s">
        <v>801</v>
      </c>
      <c r="B381" s="4" t="s">
        <v>30</v>
      </c>
      <c r="C381" s="4" t="s">
        <v>802</v>
      </c>
      <c r="D381" s="4" t="s">
        <v>32</v>
      </c>
      <c r="E381" s="4" t="s">
        <v>67</v>
      </c>
      <c r="F381" s="4" t="s">
        <v>724</v>
      </c>
      <c r="G381" s="4">
        <v>1</v>
      </c>
      <c r="H381" s="4">
        <v>402</v>
      </c>
      <c r="I381" s="4">
        <v>30633647</v>
      </c>
      <c r="J381" s="4">
        <v>48</v>
      </c>
      <c r="K381" s="4">
        <v>8.375</v>
      </c>
      <c r="L381" s="4">
        <v>638200.97916666698</v>
      </c>
      <c r="M381" s="4">
        <v>76203.101990049807</v>
      </c>
      <c r="N381" s="4" t="s">
        <v>35</v>
      </c>
      <c r="O381" s="4">
        <v>0.69278626864114501</v>
      </c>
      <c r="P381" s="4">
        <v>0.49985798124033198</v>
      </c>
    </row>
    <row r="382" spans="1:16">
      <c r="A382" s="4" t="s">
        <v>803</v>
      </c>
      <c r="B382" s="4" t="s">
        <v>30</v>
      </c>
      <c r="C382" s="4" t="s">
        <v>804</v>
      </c>
      <c r="D382" s="4" t="s">
        <v>32</v>
      </c>
      <c r="E382" s="4" t="s">
        <v>67</v>
      </c>
      <c r="F382" s="4" t="s">
        <v>724</v>
      </c>
      <c r="G382" s="4">
        <v>1</v>
      </c>
      <c r="H382" s="4">
        <v>372</v>
      </c>
      <c r="I382" s="4">
        <v>30580526</v>
      </c>
      <c r="J382" s="4">
        <v>48</v>
      </c>
      <c r="K382" s="4">
        <v>7.75</v>
      </c>
      <c r="L382" s="4">
        <v>637094.29166666698</v>
      </c>
      <c r="M382" s="4">
        <v>82205.715053763401</v>
      </c>
      <c r="N382" s="4" t="s">
        <v>35</v>
      </c>
      <c r="O382" s="4">
        <v>0.62681312283510104</v>
      </c>
      <c r="P382" s="4">
        <v>0.42860429063154798</v>
      </c>
    </row>
    <row r="383" spans="1:16">
      <c r="A383" s="4" t="s">
        <v>805</v>
      </c>
      <c r="B383" s="4" t="s">
        <v>30</v>
      </c>
      <c r="C383" s="4" t="s">
        <v>806</v>
      </c>
      <c r="D383" s="4" t="s">
        <v>32</v>
      </c>
      <c r="E383" s="4" t="s">
        <v>33</v>
      </c>
      <c r="F383" s="4" t="s">
        <v>724</v>
      </c>
      <c r="G383" s="4">
        <v>1</v>
      </c>
      <c r="H383" s="4">
        <v>391</v>
      </c>
      <c r="I383" s="4">
        <v>30369421</v>
      </c>
      <c r="J383" s="4">
        <v>48</v>
      </c>
      <c r="K383" s="4">
        <v>8.1458333333333304</v>
      </c>
      <c r="L383" s="4">
        <v>632696.27083333302</v>
      </c>
      <c r="M383" s="4">
        <v>77671.153452685394</v>
      </c>
      <c r="N383" s="4" t="s">
        <v>51</v>
      </c>
      <c r="O383" s="4">
        <v>0.69899943103953199</v>
      </c>
      <c r="P383" s="4">
        <v>0.50961060966287697</v>
      </c>
    </row>
    <row r="384" spans="1:16">
      <c r="A384" s="4" t="s">
        <v>807</v>
      </c>
      <c r="B384" s="4" t="s">
        <v>30</v>
      </c>
      <c r="C384" s="4" t="s">
        <v>808</v>
      </c>
      <c r="D384" s="4" t="s">
        <v>41</v>
      </c>
      <c r="E384" s="4" t="s">
        <v>50</v>
      </c>
      <c r="F384" s="4" t="s">
        <v>724</v>
      </c>
      <c r="G384" s="4">
        <v>1</v>
      </c>
      <c r="H384" s="4">
        <v>391</v>
      </c>
      <c r="I384" s="4">
        <v>30339224</v>
      </c>
      <c r="J384" s="4">
        <v>48</v>
      </c>
      <c r="K384" s="4">
        <v>8.1458333333333304</v>
      </c>
      <c r="L384" s="4">
        <v>632067.16666666698</v>
      </c>
      <c r="M384" s="4">
        <v>77593.923273657303</v>
      </c>
      <c r="N384" s="4" t="s">
        <v>54</v>
      </c>
      <c r="O384" s="4">
        <v>0.39996504195361099</v>
      </c>
      <c r="P384" s="4">
        <v>0.27226955479557502</v>
      </c>
    </row>
    <row r="385" spans="1:16">
      <c r="A385" s="4" t="s">
        <v>809</v>
      </c>
      <c r="B385" s="4" t="s">
        <v>30</v>
      </c>
      <c r="C385" s="4" t="s">
        <v>810</v>
      </c>
      <c r="D385" s="4" t="s">
        <v>32</v>
      </c>
      <c r="E385" s="4" t="s">
        <v>67</v>
      </c>
      <c r="F385" s="4" t="s">
        <v>724</v>
      </c>
      <c r="G385" s="4">
        <v>1</v>
      </c>
      <c r="H385" s="4">
        <v>412</v>
      </c>
      <c r="I385" s="4">
        <v>30221186</v>
      </c>
      <c r="J385" s="4">
        <v>48</v>
      </c>
      <c r="K385" s="4">
        <v>8.5833333333333304</v>
      </c>
      <c r="L385" s="4">
        <v>629608.04166666698</v>
      </c>
      <c r="M385" s="4">
        <v>73352.393203883505</v>
      </c>
      <c r="N385" s="4" t="s">
        <v>38</v>
      </c>
      <c r="O385" s="4">
        <v>0.31339110913780799</v>
      </c>
      <c r="P385" s="4">
        <v>0.23888504681339601</v>
      </c>
    </row>
    <row r="386" spans="1:16">
      <c r="A386" s="4" t="s">
        <v>811</v>
      </c>
      <c r="B386" s="4" t="s">
        <v>30</v>
      </c>
      <c r="C386" s="4" t="s">
        <v>812</v>
      </c>
      <c r="D386" s="4" t="s">
        <v>41</v>
      </c>
      <c r="E386" s="4" t="s">
        <v>50</v>
      </c>
      <c r="F386" s="4" t="s">
        <v>724</v>
      </c>
      <c r="G386" s="4">
        <v>1</v>
      </c>
      <c r="H386" s="4">
        <v>400</v>
      </c>
      <c r="I386" s="4">
        <v>30216194</v>
      </c>
      <c r="J386" s="4">
        <v>48</v>
      </c>
      <c r="K386" s="4">
        <v>8.3333333333333304</v>
      </c>
      <c r="L386" s="4">
        <v>629504.04166666698</v>
      </c>
      <c r="M386" s="4">
        <v>75540.485000000001</v>
      </c>
      <c r="N386" s="4" t="s">
        <v>47</v>
      </c>
      <c r="O386" s="4">
        <v>0.47515918119932599</v>
      </c>
      <c r="P386" s="4">
        <v>0.29863787847251799</v>
      </c>
    </row>
    <row r="387" spans="1:16">
      <c r="A387" s="4" t="s">
        <v>813</v>
      </c>
      <c r="B387" s="4" t="s">
        <v>30</v>
      </c>
      <c r="C387" s="4" t="s">
        <v>814</v>
      </c>
      <c r="D387" s="4" t="s">
        <v>32</v>
      </c>
      <c r="E387" s="4" t="s">
        <v>67</v>
      </c>
      <c r="F387" s="4" t="s">
        <v>724</v>
      </c>
      <c r="G387" s="4">
        <v>1</v>
      </c>
      <c r="H387" s="4">
        <v>436</v>
      </c>
      <c r="I387" s="4">
        <v>30091420</v>
      </c>
      <c r="J387" s="4">
        <v>48</v>
      </c>
      <c r="K387" s="4">
        <v>9.0833333333333304</v>
      </c>
      <c r="L387" s="4">
        <v>626904.58333333302</v>
      </c>
      <c r="M387" s="4">
        <v>69017.018348623897</v>
      </c>
      <c r="N387" s="4" t="s">
        <v>68</v>
      </c>
      <c r="O387" s="4">
        <v>0.35824819832364202</v>
      </c>
      <c r="P387" s="4">
        <v>0.21910443284471001</v>
      </c>
    </row>
    <row r="388" spans="1:16">
      <c r="A388" s="4" t="s">
        <v>815</v>
      </c>
      <c r="B388" s="4" t="s">
        <v>30</v>
      </c>
      <c r="C388" s="4" t="s">
        <v>816</v>
      </c>
      <c r="D388" s="4" t="s">
        <v>32</v>
      </c>
      <c r="E388" s="4" t="s">
        <v>67</v>
      </c>
      <c r="F388" s="4" t="s">
        <v>724</v>
      </c>
      <c r="G388" s="4">
        <v>1</v>
      </c>
      <c r="H388" s="4">
        <v>386</v>
      </c>
      <c r="I388" s="4">
        <v>29978482</v>
      </c>
      <c r="J388" s="4">
        <v>48</v>
      </c>
      <c r="K388" s="4">
        <v>8.0416666666666696</v>
      </c>
      <c r="L388" s="4">
        <v>624551.70833333302</v>
      </c>
      <c r="M388" s="4">
        <v>77664.461139896404</v>
      </c>
      <c r="N388" s="4" t="s">
        <v>54</v>
      </c>
      <c r="O388" s="4">
        <v>0.44579071748863103</v>
      </c>
      <c r="P388" s="4">
        <v>0.28193292724871899</v>
      </c>
    </row>
    <row r="389" spans="1:16">
      <c r="A389" s="4" t="s">
        <v>817</v>
      </c>
      <c r="B389" s="4" t="s">
        <v>30</v>
      </c>
      <c r="C389" s="4" t="s">
        <v>818</v>
      </c>
      <c r="D389" s="4" t="s">
        <v>41</v>
      </c>
      <c r="E389" s="4" t="s">
        <v>42</v>
      </c>
      <c r="F389" s="4" t="s">
        <v>724</v>
      </c>
      <c r="G389" s="4">
        <v>1</v>
      </c>
      <c r="H389" s="4">
        <v>427</v>
      </c>
      <c r="I389" s="4">
        <v>29943117</v>
      </c>
      <c r="J389" s="4">
        <v>48</v>
      </c>
      <c r="K389" s="4">
        <v>8.8958333333333304</v>
      </c>
      <c r="L389" s="4">
        <v>623814.9375</v>
      </c>
      <c r="M389" s="4">
        <v>70124.395784543303</v>
      </c>
      <c r="N389" s="4" t="s">
        <v>35</v>
      </c>
      <c r="O389" s="4">
        <v>0.28259192254433602</v>
      </c>
      <c r="P389" s="4">
        <v>0.20446269738035</v>
      </c>
    </row>
    <row r="390" spans="1:16">
      <c r="A390" s="4" t="s">
        <v>819</v>
      </c>
      <c r="B390" s="4" t="s">
        <v>30</v>
      </c>
      <c r="C390" s="4" t="s">
        <v>820</v>
      </c>
      <c r="D390" s="4" t="s">
        <v>32</v>
      </c>
      <c r="E390" s="4" t="s">
        <v>33</v>
      </c>
      <c r="F390" s="4" t="s">
        <v>724</v>
      </c>
      <c r="G390" s="4">
        <v>1</v>
      </c>
      <c r="H390" s="4">
        <v>369</v>
      </c>
      <c r="I390" s="4">
        <v>29336133</v>
      </c>
      <c r="J390" s="4">
        <v>48</v>
      </c>
      <c r="K390" s="4">
        <v>7.6875</v>
      </c>
      <c r="L390" s="4">
        <v>611169.4375</v>
      </c>
      <c r="M390" s="4">
        <v>79501.715447154507</v>
      </c>
      <c r="N390" s="4" t="s">
        <v>47</v>
      </c>
      <c r="O390" s="4">
        <v>0.51002052656360697</v>
      </c>
      <c r="P390" s="4">
        <v>0.33693364702717699</v>
      </c>
    </row>
    <row r="391" spans="1:16">
      <c r="A391" s="4" t="s">
        <v>821</v>
      </c>
      <c r="B391" s="4" t="s">
        <v>30</v>
      </c>
      <c r="C391" s="4" t="s">
        <v>822</v>
      </c>
      <c r="D391" s="4" t="s">
        <v>32</v>
      </c>
      <c r="E391" s="4" t="s">
        <v>67</v>
      </c>
      <c r="F391" s="4" t="s">
        <v>724</v>
      </c>
      <c r="G391" s="4">
        <v>1</v>
      </c>
      <c r="H391" s="4">
        <v>364</v>
      </c>
      <c r="I391" s="4">
        <v>29273736</v>
      </c>
      <c r="J391" s="4">
        <v>48</v>
      </c>
      <c r="K391" s="4">
        <v>7.5833333333333304</v>
      </c>
      <c r="L391" s="4">
        <v>609869.5</v>
      </c>
      <c r="M391" s="4">
        <v>80422.3516483516</v>
      </c>
      <c r="N391" s="4" t="s">
        <v>54</v>
      </c>
      <c r="O391" s="4">
        <v>0.382563332538081</v>
      </c>
      <c r="P391" s="4">
        <v>0.25782955734505503</v>
      </c>
    </row>
    <row r="392" spans="1:16">
      <c r="A392" s="4" t="s">
        <v>823</v>
      </c>
      <c r="B392" s="4" t="s">
        <v>30</v>
      </c>
      <c r="C392" s="4" t="s">
        <v>824</v>
      </c>
      <c r="D392" s="4" t="s">
        <v>41</v>
      </c>
      <c r="E392" s="4" t="s">
        <v>42</v>
      </c>
      <c r="F392" s="4" t="s">
        <v>724</v>
      </c>
      <c r="G392" s="4">
        <v>1</v>
      </c>
      <c r="H392" s="4">
        <v>386</v>
      </c>
      <c r="I392" s="4">
        <v>29152180</v>
      </c>
      <c r="J392" s="4">
        <v>48</v>
      </c>
      <c r="K392" s="4">
        <v>8.0416666666666696</v>
      </c>
      <c r="L392" s="4">
        <v>607337.08333333302</v>
      </c>
      <c r="M392" s="4">
        <v>75523.782383419704</v>
      </c>
      <c r="N392" s="4" t="s">
        <v>47</v>
      </c>
      <c r="O392" s="4">
        <v>0.28411645372661698</v>
      </c>
      <c r="P392" s="4">
        <v>0.21032748412334401</v>
      </c>
    </row>
    <row r="393" spans="1:16">
      <c r="A393" s="4" t="s">
        <v>825</v>
      </c>
      <c r="B393" s="4" t="s">
        <v>30</v>
      </c>
      <c r="C393" s="4" t="s">
        <v>826</v>
      </c>
      <c r="D393" s="4" t="s">
        <v>32</v>
      </c>
      <c r="E393" s="4" t="s">
        <v>67</v>
      </c>
      <c r="F393" s="4" t="s">
        <v>724</v>
      </c>
      <c r="G393" s="4">
        <v>1</v>
      </c>
      <c r="H393" s="4">
        <v>412</v>
      </c>
      <c r="I393" s="4">
        <v>28802458</v>
      </c>
      <c r="J393" s="4">
        <v>48</v>
      </c>
      <c r="K393" s="4">
        <v>8.5833333333333304</v>
      </c>
      <c r="L393" s="4">
        <v>600051.20833333302</v>
      </c>
      <c r="M393" s="4">
        <v>69908.878640776704</v>
      </c>
      <c r="N393" s="4" t="s">
        <v>38</v>
      </c>
      <c r="O393" s="4">
        <v>0.57880914191420796</v>
      </c>
      <c r="P393" s="4">
        <v>0.37632221208358801</v>
      </c>
    </row>
    <row r="394" spans="1:16">
      <c r="A394" s="4" t="s">
        <v>827</v>
      </c>
      <c r="B394" s="4" t="s">
        <v>30</v>
      </c>
      <c r="C394" s="4" t="s">
        <v>828</v>
      </c>
      <c r="D394" s="4" t="s">
        <v>32</v>
      </c>
      <c r="E394" s="4" t="s">
        <v>33</v>
      </c>
      <c r="F394" s="4" t="s">
        <v>724</v>
      </c>
      <c r="G394" s="4">
        <v>1</v>
      </c>
      <c r="H394" s="4">
        <v>365</v>
      </c>
      <c r="I394" s="4">
        <v>28708135</v>
      </c>
      <c r="J394" s="4">
        <v>48</v>
      </c>
      <c r="K394" s="4">
        <v>7.6041666666666696</v>
      </c>
      <c r="L394" s="4">
        <v>598086.14583333302</v>
      </c>
      <c r="M394" s="4">
        <v>78652.424657534197</v>
      </c>
      <c r="N394" s="4" t="s">
        <v>47</v>
      </c>
      <c r="O394" s="4">
        <v>0.60594005845381504</v>
      </c>
      <c r="P394" s="4">
        <v>0.40077337146723602</v>
      </c>
    </row>
    <row r="395" spans="1:16">
      <c r="A395" s="4" t="s">
        <v>829</v>
      </c>
      <c r="B395" s="4" t="s">
        <v>30</v>
      </c>
      <c r="C395" s="4" t="s">
        <v>830</v>
      </c>
      <c r="D395" s="4" t="s">
        <v>32</v>
      </c>
      <c r="E395" s="4" t="s">
        <v>33</v>
      </c>
      <c r="F395" s="4" t="s">
        <v>724</v>
      </c>
      <c r="G395" s="4">
        <v>1</v>
      </c>
      <c r="H395" s="4">
        <v>393</v>
      </c>
      <c r="I395" s="4">
        <v>28704816</v>
      </c>
      <c r="J395" s="4">
        <v>48</v>
      </c>
      <c r="K395" s="4">
        <v>8.1875</v>
      </c>
      <c r="L395" s="4">
        <v>598017</v>
      </c>
      <c r="M395" s="4">
        <v>73040.2442748092</v>
      </c>
      <c r="N395" s="4" t="s">
        <v>35</v>
      </c>
      <c r="O395" s="4">
        <v>0.40307271086496399</v>
      </c>
      <c r="P395" s="4">
        <v>0.257180379864551</v>
      </c>
    </row>
    <row r="396" spans="1:16">
      <c r="A396" s="4" t="s">
        <v>831</v>
      </c>
      <c r="B396" s="4" t="s">
        <v>30</v>
      </c>
      <c r="C396" s="4" t="s">
        <v>832</v>
      </c>
      <c r="D396" s="4" t="s">
        <v>41</v>
      </c>
      <c r="E396" s="4" t="s">
        <v>50</v>
      </c>
      <c r="F396" s="4" t="s">
        <v>724</v>
      </c>
      <c r="G396" s="4">
        <v>1</v>
      </c>
      <c r="H396" s="4">
        <v>393</v>
      </c>
      <c r="I396" s="4">
        <v>28444161</v>
      </c>
      <c r="J396" s="4">
        <v>48</v>
      </c>
      <c r="K396" s="4">
        <v>8.1875</v>
      </c>
      <c r="L396" s="4">
        <v>592586.6875</v>
      </c>
      <c r="M396" s="4">
        <v>72377</v>
      </c>
      <c r="N396" s="4" t="s">
        <v>54</v>
      </c>
      <c r="O396" s="4">
        <v>0.50330364815471296</v>
      </c>
      <c r="P396" s="4">
        <v>0.32533596526096498</v>
      </c>
    </row>
    <row r="397" spans="1:16">
      <c r="A397" s="4" t="s">
        <v>833</v>
      </c>
      <c r="B397" s="4" t="s">
        <v>30</v>
      </c>
      <c r="C397" s="4" t="s">
        <v>834</v>
      </c>
      <c r="D397" s="4" t="s">
        <v>41</v>
      </c>
      <c r="E397" s="4" t="s">
        <v>50</v>
      </c>
      <c r="F397" s="4" t="s">
        <v>724</v>
      </c>
      <c r="G397" s="4">
        <v>1</v>
      </c>
      <c r="H397" s="4">
        <v>410</v>
      </c>
      <c r="I397" s="4">
        <v>28393501</v>
      </c>
      <c r="J397" s="4">
        <v>48</v>
      </c>
      <c r="K397" s="4">
        <v>8.5416666666666696</v>
      </c>
      <c r="L397" s="4">
        <v>591531.27083333302</v>
      </c>
      <c r="M397" s="4">
        <v>69252.441463414594</v>
      </c>
      <c r="N397" s="4" t="s">
        <v>54</v>
      </c>
      <c r="O397" s="4">
        <v>0.31587161442331502</v>
      </c>
      <c r="P397" s="4">
        <v>0.22473728704148199</v>
      </c>
    </row>
    <row r="398" spans="1:16">
      <c r="A398" s="4" t="s">
        <v>835</v>
      </c>
      <c r="B398" s="4" t="s">
        <v>30</v>
      </c>
      <c r="C398" s="4" t="s">
        <v>836</v>
      </c>
      <c r="D398" s="4" t="s">
        <v>41</v>
      </c>
      <c r="E398" s="4" t="s">
        <v>50</v>
      </c>
      <c r="F398" s="4" t="s">
        <v>724</v>
      </c>
      <c r="G398" s="4">
        <v>1</v>
      </c>
      <c r="H398" s="4">
        <v>393</v>
      </c>
      <c r="I398" s="4">
        <v>28329883</v>
      </c>
      <c r="J398" s="4">
        <v>48</v>
      </c>
      <c r="K398" s="4">
        <v>8.1875</v>
      </c>
      <c r="L398" s="4">
        <v>590205.89583333302</v>
      </c>
      <c r="M398" s="4">
        <v>72086.216284987298</v>
      </c>
      <c r="N398" s="4" t="s">
        <v>51</v>
      </c>
      <c r="O398" s="4">
        <v>0.366026679319502</v>
      </c>
      <c r="P398" s="4">
        <v>0.23538898982902701</v>
      </c>
    </row>
    <row r="399" spans="1:16">
      <c r="A399" s="4" t="s">
        <v>837</v>
      </c>
      <c r="B399" s="4" t="s">
        <v>30</v>
      </c>
      <c r="C399" s="4" t="s">
        <v>838</v>
      </c>
      <c r="D399" s="4" t="s">
        <v>32</v>
      </c>
      <c r="E399" s="4" t="s">
        <v>33</v>
      </c>
      <c r="F399" s="4" t="s">
        <v>724</v>
      </c>
      <c r="G399" s="4">
        <v>1</v>
      </c>
      <c r="H399" s="4">
        <v>409</v>
      </c>
      <c r="I399" s="4">
        <v>28307927</v>
      </c>
      <c r="J399" s="4">
        <v>48</v>
      </c>
      <c r="K399" s="4">
        <v>8.5208333333333304</v>
      </c>
      <c r="L399" s="4">
        <v>589748.47916666698</v>
      </c>
      <c r="M399" s="4">
        <v>69212.5354523227</v>
      </c>
      <c r="N399" s="4" t="s">
        <v>54</v>
      </c>
      <c r="O399" s="4">
        <v>0.36617499402199299</v>
      </c>
      <c r="P399" s="4">
        <v>0.23498436760017699</v>
      </c>
    </row>
    <row r="400" spans="1:16">
      <c r="A400" s="4" t="s">
        <v>839</v>
      </c>
      <c r="B400" s="4" t="s">
        <v>30</v>
      </c>
      <c r="C400" s="4" t="s">
        <v>840</v>
      </c>
      <c r="D400" s="4" t="s">
        <v>41</v>
      </c>
      <c r="E400" s="4" t="s">
        <v>50</v>
      </c>
      <c r="F400" s="4" t="s">
        <v>724</v>
      </c>
      <c r="G400" s="4">
        <v>1</v>
      </c>
      <c r="H400" s="4">
        <v>376</v>
      </c>
      <c r="I400" s="4">
        <v>28268206</v>
      </c>
      <c r="J400" s="4">
        <v>48</v>
      </c>
      <c r="K400" s="4">
        <v>7.8333333333333304</v>
      </c>
      <c r="L400" s="4">
        <v>588920.95833333302</v>
      </c>
      <c r="M400" s="4">
        <v>75181.398936170197</v>
      </c>
      <c r="N400" s="4" t="s">
        <v>51</v>
      </c>
      <c r="O400" s="4">
        <v>0.58600400747044201</v>
      </c>
      <c r="P400" s="4">
        <v>0.38113800580261298</v>
      </c>
    </row>
    <row r="401" spans="1:16">
      <c r="A401" s="4" t="s">
        <v>841</v>
      </c>
      <c r="B401" s="4" t="s">
        <v>30</v>
      </c>
      <c r="C401" s="4" t="s">
        <v>842</v>
      </c>
      <c r="D401" s="4" t="s">
        <v>32</v>
      </c>
      <c r="E401" s="4" t="s">
        <v>33</v>
      </c>
      <c r="F401" s="4" t="s">
        <v>724</v>
      </c>
      <c r="G401" s="4">
        <v>1</v>
      </c>
      <c r="H401" s="4">
        <v>411</v>
      </c>
      <c r="I401" s="4">
        <v>28046966</v>
      </c>
      <c r="J401" s="4">
        <v>48</v>
      </c>
      <c r="K401" s="4">
        <v>8.5625</v>
      </c>
      <c r="L401" s="4">
        <v>584311.79166666698</v>
      </c>
      <c r="M401" s="4">
        <v>68240.793187347896</v>
      </c>
      <c r="N401" s="4" t="s">
        <v>51</v>
      </c>
      <c r="O401" s="4">
        <v>0.27654099912268598</v>
      </c>
      <c r="P401" s="4">
        <v>0.196780914852001</v>
      </c>
    </row>
    <row r="402" spans="1:16">
      <c r="A402" s="4" t="s">
        <v>843</v>
      </c>
      <c r="B402" s="4" t="s">
        <v>30</v>
      </c>
      <c r="C402" s="4" t="s">
        <v>844</v>
      </c>
      <c r="D402" s="4" t="s">
        <v>32</v>
      </c>
      <c r="E402" s="4" t="s">
        <v>67</v>
      </c>
      <c r="F402" s="4" t="s">
        <v>724</v>
      </c>
      <c r="G402" s="4">
        <v>1</v>
      </c>
      <c r="H402" s="4">
        <v>375</v>
      </c>
      <c r="I402" s="4">
        <v>28011167</v>
      </c>
      <c r="J402" s="4">
        <v>48</v>
      </c>
      <c r="K402" s="4">
        <v>7.8125</v>
      </c>
      <c r="L402" s="4">
        <v>583565.97916666698</v>
      </c>
      <c r="M402" s="4">
        <v>74696.445333333293</v>
      </c>
      <c r="N402" s="4" t="s">
        <v>51</v>
      </c>
      <c r="O402" s="4">
        <v>0.31103306049333801</v>
      </c>
      <c r="P402" s="4">
        <v>0.20858838787798301</v>
      </c>
    </row>
    <row r="403" spans="1:16">
      <c r="A403" s="4" t="s">
        <v>845</v>
      </c>
      <c r="B403" s="4" t="s">
        <v>30</v>
      </c>
      <c r="C403" s="4" t="s">
        <v>846</v>
      </c>
      <c r="D403" s="4" t="s">
        <v>41</v>
      </c>
      <c r="E403" s="4" t="s">
        <v>42</v>
      </c>
      <c r="F403" s="4" t="s">
        <v>724</v>
      </c>
      <c r="G403" s="4">
        <v>1</v>
      </c>
      <c r="H403" s="4">
        <v>390</v>
      </c>
      <c r="I403" s="4">
        <v>27629333.600000001</v>
      </c>
      <c r="J403" s="4">
        <v>48</v>
      </c>
      <c r="K403" s="4">
        <v>8.125</v>
      </c>
      <c r="L403" s="4">
        <v>575611.11666666705</v>
      </c>
      <c r="M403" s="4">
        <v>70844.445128205101</v>
      </c>
      <c r="N403" s="4" t="s">
        <v>54</v>
      </c>
      <c r="O403" s="4">
        <v>0.34697641060731199</v>
      </c>
      <c r="P403" s="4">
        <v>0.24191328481642899</v>
      </c>
    </row>
    <row r="404" spans="1:16">
      <c r="A404" s="4" t="s">
        <v>847</v>
      </c>
      <c r="B404" s="4" t="s">
        <v>30</v>
      </c>
      <c r="C404" s="4" t="s">
        <v>848</v>
      </c>
      <c r="D404" s="4" t="s">
        <v>32</v>
      </c>
      <c r="E404" s="4" t="s">
        <v>33</v>
      </c>
      <c r="F404" s="4" t="s">
        <v>724</v>
      </c>
      <c r="G404" s="4">
        <v>1</v>
      </c>
      <c r="H404" s="4">
        <v>380</v>
      </c>
      <c r="I404" s="4">
        <v>27600353</v>
      </c>
      <c r="J404" s="4">
        <v>48</v>
      </c>
      <c r="K404" s="4">
        <v>7.9166666666666696</v>
      </c>
      <c r="L404" s="4">
        <v>575007.35416666698</v>
      </c>
      <c r="M404" s="4">
        <v>72632.507894736904</v>
      </c>
      <c r="N404" s="4" t="s">
        <v>51</v>
      </c>
      <c r="O404" s="4">
        <v>0.28685727316603499</v>
      </c>
      <c r="P404" s="4">
        <v>0.226177414224843</v>
      </c>
    </row>
    <row r="405" spans="1:16">
      <c r="A405" s="4" t="s">
        <v>849</v>
      </c>
      <c r="B405" s="4" t="s">
        <v>30</v>
      </c>
      <c r="C405" s="4" t="s">
        <v>850</v>
      </c>
      <c r="D405" s="4" t="s">
        <v>32</v>
      </c>
      <c r="E405" s="4" t="s">
        <v>33</v>
      </c>
      <c r="F405" s="4" t="s">
        <v>724</v>
      </c>
      <c r="G405" s="4">
        <v>1</v>
      </c>
      <c r="H405" s="4">
        <v>389</v>
      </c>
      <c r="I405" s="4">
        <v>27426626</v>
      </c>
      <c r="J405" s="4">
        <v>48</v>
      </c>
      <c r="K405" s="4">
        <v>8.1041666666666696</v>
      </c>
      <c r="L405" s="4">
        <v>571388.04166666698</v>
      </c>
      <c r="M405" s="4">
        <v>70505.465295629794</v>
      </c>
      <c r="N405" s="4" t="s">
        <v>54</v>
      </c>
      <c r="O405" s="4">
        <v>0.221017598008592</v>
      </c>
      <c r="P405" s="4">
        <v>0.17687995295033199</v>
      </c>
    </row>
    <row r="406" spans="1:16">
      <c r="A406" s="4" t="s">
        <v>851</v>
      </c>
      <c r="B406" s="4" t="s">
        <v>30</v>
      </c>
      <c r="C406" s="4" t="s">
        <v>852</v>
      </c>
      <c r="D406" s="4" t="s">
        <v>41</v>
      </c>
      <c r="E406" s="4" t="s">
        <v>50</v>
      </c>
      <c r="F406" s="4" t="s">
        <v>724</v>
      </c>
      <c r="G406" s="4">
        <v>1</v>
      </c>
      <c r="H406" s="4">
        <v>401</v>
      </c>
      <c r="I406" s="4">
        <v>27376951</v>
      </c>
      <c r="J406" s="4">
        <v>48</v>
      </c>
      <c r="K406" s="4">
        <v>8.3541666666666696</v>
      </c>
      <c r="L406" s="4">
        <v>570353.14583333302</v>
      </c>
      <c r="M406" s="4">
        <v>68271.698254364106</v>
      </c>
      <c r="N406" s="4" t="s">
        <v>38</v>
      </c>
      <c r="O406" s="4">
        <v>0.33878075027420002</v>
      </c>
      <c r="P406" s="4">
        <v>0.22417824246279699</v>
      </c>
    </row>
    <row r="407" spans="1:16">
      <c r="A407" s="4" t="s">
        <v>853</v>
      </c>
      <c r="B407" s="4" t="s">
        <v>30</v>
      </c>
      <c r="C407" s="4" t="s">
        <v>854</v>
      </c>
      <c r="D407" s="4" t="s">
        <v>32</v>
      </c>
      <c r="E407" s="4" t="s">
        <v>33</v>
      </c>
      <c r="F407" s="4" t="s">
        <v>724</v>
      </c>
      <c r="G407" s="4">
        <v>1</v>
      </c>
      <c r="H407" s="4">
        <v>408</v>
      </c>
      <c r="I407" s="4">
        <v>27261177</v>
      </c>
      <c r="J407" s="4">
        <v>48</v>
      </c>
      <c r="K407" s="4">
        <v>8.5</v>
      </c>
      <c r="L407" s="4">
        <v>567941.1875</v>
      </c>
      <c r="M407" s="4">
        <v>66816.610294117694</v>
      </c>
      <c r="N407" s="4" t="s">
        <v>51</v>
      </c>
      <c r="O407" s="4">
        <v>0.51104128776244695</v>
      </c>
      <c r="P407" s="4">
        <v>0.31948727405273297</v>
      </c>
    </row>
    <row r="408" spans="1:16">
      <c r="A408" s="4" t="s">
        <v>855</v>
      </c>
      <c r="B408" s="4" t="s">
        <v>30</v>
      </c>
      <c r="C408" s="4" t="s">
        <v>856</v>
      </c>
      <c r="D408" s="4" t="s">
        <v>32</v>
      </c>
      <c r="E408" s="4" t="s">
        <v>67</v>
      </c>
      <c r="F408" s="4" t="s">
        <v>724</v>
      </c>
      <c r="G408" s="4">
        <v>1</v>
      </c>
      <c r="H408" s="4">
        <v>360</v>
      </c>
      <c r="I408" s="4">
        <v>26895847</v>
      </c>
      <c r="J408" s="4">
        <v>48</v>
      </c>
      <c r="K408" s="4">
        <v>7.5</v>
      </c>
      <c r="L408" s="4">
        <v>560330.14583333302</v>
      </c>
      <c r="M408" s="4">
        <v>74710.686111111107</v>
      </c>
      <c r="N408" s="4" t="s">
        <v>68</v>
      </c>
      <c r="O408" s="4">
        <v>0.31306680916202401</v>
      </c>
      <c r="P408" s="4">
        <v>0.21614912537038</v>
      </c>
    </row>
    <row r="409" spans="1:16">
      <c r="A409" s="4" t="s">
        <v>857</v>
      </c>
      <c r="B409" s="4" t="s">
        <v>30</v>
      </c>
      <c r="C409" s="4" t="s">
        <v>858</v>
      </c>
      <c r="D409" s="4" t="s">
        <v>32</v>
      </c>
      <c r="E409" s="4" t="s">
        <v>67</v>
      </c>
      <c r="F409" s="4" t="s">
        <v>724</v>
      </c>
      <c r="G409" s="4">
        <v>1</v>
      </c>
      <c r="H409" s="4">
        <v>383</v>
      </c>
      <c r="I409" s="4">
        <v>26877575</v>
      </c>
      <c r="J409" s="4">
        <v>48</v>
      </c>
      <c r="K409" s="4">
        <v>7.9791666666666696</v>
      </c>
      <c r="L409" s="4">
        <v>559949.47916666698</v>
      </c>
      <c r="M409" s="4">
        <v>70176.436031331599</v>
      </c>
      <c r="N409" s="4" t="s">
        <v>47</v>
      </c>
      <c r="O409" s="4">
        <v>0.30956553930181602</v>
      </c>
      <c r="P409" s="4">
        <v>0.20519081717676099</v>
      </c>
    </row>
    <row r="410" spans="1:16">
      <c r="A410" s="4" t="s">
        <v>859</v>
      </c>
      <c r="B410" s="4" t="s">
        <v>30</v>
      </c>
      <c r="C410" s="4" t="s">
        <v>860</v>
      </c>
      <c r="D410" s="4" t="s">
        <v>41</v>
      </c>
      <c r="E410" s="4" t="s">
        <v>50</v>
      </c>
      <c r="F410" s="4" t="s">
        <v>724</v>
      </c>
      <c r="G410" s="4">
        <v>1</v>
      </c>
      <c r="H410" s="4">
        <v>405</v>
      </c>
      <c r="I410" s="4">
        <v>26870627</v>
      </c>
      <c r="J410" s="4">
        <v>48</v>
      </c>
      <c r="K410" s="4">
        <v>8.4375</v>
      </c>
      <c r="L410" s="4">
        <v>559804.72916666698</v>
      </c>
      <c r="M410" s="4">
        <v>66347.2271604938</v>
      </c>
      <c r="N410" s="4" t="s">
        <v>51</v>
      </c>
      <c r="O410" s="4">
        <v>0.35850990749118</v>
      </c>
      <c r="P410" s="4">
        <v>0.218648102563547</v>
      </c>
    </row>
    <row r="411" spans="1:16">
      <c r="A411" s="4" t="s">
        <v>861</v>
      </c>
      <c r="B411" s="4" t="s">
        <v>30</v>
      </c>
      <c r="C411" s="4" t="s">
        <v>862</v>
      </c>
      <c r="D411" s="4" t="s">
        <v>41</v>
      </c>
      <c r="E411" s="4" t="s">
        <v>50</v>
      </c>
      <c r="F411" s="4" t="s">
        <v>724</v>
      </c>
      <c r="G411" s="4">
        <v>1</v>
      </c>
      <c r="H411" s="4">
        <v>395</v>
      </c>
      <c r="I411" s="4">
        <v>26826785</v>
      </c>
      <c r="J411" s="4">
        <v>48</v>
      </c>
      <c r="K411" s="4">
        <v>8.2291666666666696</v>
      </c>
      <c r="L411" s="4">
        <v>558891.35416666698</v>
      </c>
      <c r="M411" s="4">
        <v>67915.911392405105</v>
      </c>
      <c r="N411" s="4" t="s">
        <v>38</v>
      </c>
      <c r="O411" s="4">
        <v>0.204493382267014</v>
      </c>
      <c r="P411" s="4">
        <v>0.17501586326888299</v>
      </c>
    </row>
    <row r="412" spans="1:16">
      <c r="A412" s="4" t="s">
        <v>863</v>
      </c>
      <c r="B412" s="4" t="s">
        <v>30</v>
      </c>
      <c r="C412" s="4" t="s">
        <v>864</v>
      </c>
      <c r="D412" s="4" t="s">
        <v>32</v>
      </c>
      <c r="E412" s="4" t="s">
        <v>33</v>
      </c>
      <c r="F412" s="4" t="s">
        <v>724</v>
      </c>
      <c r="G412" s="4">
        <v>1</v>
      </c>
      <c r="H412" s="4">
        <v>422</v>
      </c>
      <c r="I412" s="4">
        <v>26532373</v>
      </c>
      <c r="J412" s="4">
        <v>48</v>
      </c>
      <c r="K412" s="4">
        <v>8.7916666666666696</v>
      </c>
      <c r="L412" s="4">
        <v>552757.77083333302</v>
      </c>
      <c r="M412" s="4">
        <v>62872.921800947901</v>
      </c>
      <c r="N412" s="4" t="s">
        <v>47</v>
      </c>
      <c r="O412" s="4">
        <v>0.55104909010588699</v>
      </c>
      <c r="P412" s="4">
        <v>0.346920376805264</v>
      </c>
    </row>
    <row r="413" spans="1:16">
      <c r="A413" s="4" t="s">
        <v>865</v>
      </c>
      <c r="B413" s="4" t="s">
        <v>30</v>
      </c>
      <c r="C413" s="4" t="s">
        <v>866</v>
      </c>
      <c r="D413" s="4" t="s">
        <v>32</v>
      </c>
      <c r="E413" s="4" t="s">
        <v>33</v>
      </c>
      <c r="F413" s="4" t="s">
        <v>724</v>
      </c>
      <c r="G413" s="4">
        <v>1</v>
      </c>
      <c r="H413" s="4">
        <v>375</v>
      </c>
      <c r="I413" s="4">
        <v>26531140</v>
      </c>
      <c r="J413" s="4">
        <v>48</v>
      </c>
      <c r="K413" s="4">
        <v>7.8125</v>
      </c>
      <c r="L413" s="4">
        <v>552732.08333333302</v>
      </c>
      <c r="M413" s="4">
        <v>70749.706666666694</v>
      </c>
      <c r="N413" s="4" t="s">
        <v>51</v>
      </c>
      <c r="O413" s="4">
        <v>0.48292444274916202</v>
      </c>
      <c r="P413" s="4">
        <v>0.28776343380388902</v>
      </c>
    </row>
    <row r="414" spans="1:16">
      <c r="A414" s="4" t="s">
        <v>867</v>
      </c>
      <c r="B414" s="4" t="s">
        <v>30</v>
      </c>
      <c r="C414" s="4" t="s">
        <v>868</v>
      </c>
      <c r="D414" s="4" t="s">
        <v>41</v>
      </c>
      <c r="E414" s="4" t="s">
        <v>42</v>
      </c>
      <c r="F414" s="4" t="s">
        <v>724</v>
      </c>
      <c r="G414" s="4">
        <v>1</v>
      </c>
      <c r="H414" s="4">
        <v>428</v>
      </c>
      <c r="I414" s="4">
        <v>26467886</v>
      </c>
      <c r="J414" s="4">
        <v>48</v>
      </c>
      <c r="K414" s="4">
        <v>8.9166666666666696</v>
      </c>
      <c r="L414" s="4">
        <v>551414.29166666698</v>
      </c>
      <c r="M414" s="4">
        <v>61840.855140186897</v>
      </c>
      <c r="N414" s="4" t="s">
        <v>38</v>
      </c>
      <c r="O414" s="4">
        <v>0.37795538336533602</v>
      </c>
      <c r="P414" s="4">
        <v>0.23554775068695799</v>
      </c>
    </row>
    <row r="415" spans="1:16">
      <c r="A415" s="4" t="s">
        <v>869</v>
      </c>
      <c r="B415" s="4" t="s">
        <v>30</v>
      </c>
      <c r="C415" s="4" t="s">
        <v>870</v>
      </c>
      <c r="D415" s="4" t="s">
        <v>32</v>
      </c>
      <c r="E415" s="4" t="s">
        <v>33</v>
      </c>
      <c r="F415" s="4" t="s">
        <v>724</v>
      </c>
      <c r="G415" s="4">
        <v>1</v>
      </c>
      <c r="H415" s="4">
        <v>349</v>
      </c>
      <c r="I415" s="4">
        <v>26418367</v>
      </c>
      <c r="J415" s="4">
        <v>48</v>
      </c>
      <c r="K415" s="4">
        <v>7.2708333333333304</v>
      </c>
      <c r="L415" s="4">
        <v>550382.64583333302</v>
      </c>
      <c r="M415" s="4">
        <v>75697.326647564507</v>
      </c>
      <c r="N415" s="4" t="s">
        <v>47</v>
      </c>
      <c r="O415" s="4">
        <v>0.55758272265655195</v>
      </c>
      <c r="P415" s="4">
        <v>0.37115471860360599</v>
      </c>
    </row>
    <row r="416" spans="1:16">
      <c r="A416" s="4" t="s">
        <v>871</v>
      </c>
      <c r="B416" s="4" t="s">
        <v>30</v>
      </c>
      <c r="C416" s="4" t="s">
        <v>872</v>
      </c>
      <c r="D416" s="4" t="s">
        <v>32</v>
      </c>
      <c r="E416" s="4" t="s">
        <v>67</v>
      </c>
      <c r="F416" s="4" t="s">
        <v>724</v>
      </c>
      <c r="G416" s="4">
        <v>1</v>
      </c>
      <c r="H416" s="4">
        <v>367</v>
      </c>
      <c r="I416" s="4">
        <v>26339532</v>
      </c>
      <c r="J416" s="4">
        <v>48</v>
      </c>
      <c r="K416" s="4">
        <v>7.6458333333333304</v>
      </c>
      <c r="L416" s="4">
        <v>548740.25</v>
      </c>
      <c r="M416" s="4">
        <v>71769.841961852901</v>
      </c>
      <c r="N416" s="4" t="s">
        <v>68</v>
      </c>
      <c r="O416" s="4">
        <v>0.35494161399678598</v>
      </c>
      <c r="P416" s="4">
        <v>0.22685478735603101</v>
      </c>
    </row>
    <row r="417" spans="1:16">
      <c r="A417" s="4" t="s">
        <v>873</v>
      </c>
      <c r="B417" s="4" t="s">
        <v>30</v>
      </c>
      <c r="C417" s="4" t="s">
        <v>874</v>
      </c>
      <c r="D417" s="4" t="s">
        <v>41</v>
      </c>
      <c r="E417" s="4" t="s">
        <v>50</v>
      </c>
      <c r="F417" s="4" t="s">
        <v>724</v>
      </c>
      <c r="G417" s="4">
        <v>1</v>
      </c>
      <c r="H417" s="4">
        <v>384</v>
      </c>
      <c r="I417" s="4">
        <v>26263639</v>
      </c>
      <c r="J417" s="4">
        <v>48</v>
      </c>
      <c r="K417" s="4">
        <v>8</v>
      </c>
      <c r="L417" s="4">
        <v>547159.14583333302</v>
      </c>
      <c r="M417" s="4">
        <v>68394.893229166701</v>
      </c>
      <c r="N417" s="4" t="s">
        <v>68</v>
      </c>
      <c r="O417" s="4">
        <v>0.35549353994699701</v>
      </c>
      <c r="P417" s="4">
        <v>0.26555823831967301</v>
      </c>
    </row>
    <row r="418" spans="1:16">
      <c r="A418" s="4" t="s">
        <v>875</v>
      </c>
      <c r="B418" s="4" t="s">
        <v>30</v>
      </c>
      <c r="C418" s="4" t="s">
        <v>876</v>
      </c>
      <c r="D418" s="4" t="s">
        <v>41</v>
      </c>
      <c r="E418" s="4" t="s">
        <v>50</v>
      </c>
      <c r="F418" s="4" t="s">
        <v>724</v>
      </c>
      <c r="G418" s="4">
        <v>1</v>
      </c>
      <c r="H418" s="4">
        <v>376</v>
      </c>
      <c r="I418" s="4">
        <v>26222321</v>
      </c>
      <c r="J418" s="4">
        <v>48</v>
      </c>
      <c r="K418" s="4">
        <v>7.8333333333333304</v>
      </c>
      <c r="L418" s="4">
        <v>546298.35416666698</v>
      </c>
      <c r="M418" s="4">
        <v>69740.215425531904</v>
      </c>
      <c r="N418" s="4" t="s">
        <v>51</v>
      </c>
      <c r="O418" s="4">
        <v>0.43413125024287502</v>
      </c>
      <c r="P418" s="4">
        <v>0.27120635036637603</v>
      </c>
    </row>
    <row r="419" spans="1:16">
      <c r="A419" s="4" t="s">
        <v>877</v>
      </c>
      <c r="B419" s="4" t="s">
        <v>30</v>
      </c>
      <c r="C419" s="4" t="s">
        <v>878</v>
      </c>
      <c r="D419" s="4" t="s">
        <v>41</v>
      </c>
      <c r="E419" s="4" t="s">
        <v>42</v>
      </c>
      <c r="F419" s="4" t="s">
        <v>724</v>
      </c>
      <c r="G419" s="4">
        <v>1</v>
      </c>
      <c r="H419" s="4">
        <v>362</v>
      </c>
      <c r="I419" s="4">
        <v>26220594</v>
      </c>
      <c r="J419" s="4">
        <v>48</v>
      </c>
      <c r="K419" s="4">
        <v>7.5416666666666696</v>
      </c>
      <c r="L419" s="4">
        <v>546262.375</v>
      </c>
      <c r="M419" s="4">
        <v>72432.580110497205</v>
      </c>
      <c r="N419" s="4" t="s">
        <v>47</v>
      </c>
      <c r="O419" s="4">
        <v>0.36573973114415298</v>
      </c>
      <c r="P419" s="4">
        <v>0.21752959466761199</v>
      </c>
    </row>
    <row r="420" spans="1:16">
      <c r="A420" s="4" t="s">
        <v>879</v>
      </c>
      <c r="B420" s="4" t="s">
        <v>30</v>
      </c>
      <c r="C420" s="4" t="s">
        <v>880</v>
      </c>
      <c r="D420" s="4" t="s">
        <v>41</v>
      </c>
      <c r="E420" s="4" t="s">
        <v>50</v>
      </c>
      <c r="F420" s="4" t="s">
        <v>724</v>
      </c>
      <c r="G420" s="4">
        <v>1</v>
      </c>
      <c r="H420" s="4">
        <v>401</v>
      </c>
      <c r="I420" s="4">
        <v>26209384</v>
      </c>
      <c r="J420" s="4">
        <v>48</v>
      </c>
      <c r="K420" s="4">
        <v>8.3541666666666696</v>
      </c>
      <c r="L420" s="4">
        <v>546028.83333333302</v>
      </c>
      <c r="M420" s="4">
        <v>65360.059850374098</v>
      </c>
      <c r="N420" s="4" t="s">
        <v>35</v>
      </c>
      <c r="O420" s="4">
        <v>0.55709493210523398</v>
      </c>
      <c r="P420" s="4">
        <v>0.35070107156378599</v>
      </c>
    </row>
    <row r="421" spans="1:16">
      <c r="A421" s="4" t="s">
        <v>881</v>
      </c>
      <c r="B421" s="4" t="s">
        <v>30</v>
      </c>
      <c r="C421" s="4" t="s">
        <v>882</v>
      </c>
      <c r="D421" s="4" t="s">
        <v>32</v>
      </c>
      <c r="E421" s="4" t="s">
        <v>67</v>
      </c>
      <c r="F421" s="4" t="s">
        <v>724</v>
      </c>
      <c r="G421" s="4">
        <v>1</v>
      </c>
      <c r="H421" s="4">
        <v>387</v>
      </c>
      <c r="I421" s="4">
        <v>26198762</v>
      </c>
      <c r="J421" s="4">
        <v>48</v>
      </c>
      <c r="K421" s="4">
        <v>8.0625</v>
      </c>
      <c r="L421" s="4">
        <v>545807.54166666698</v>
      </c>
      <c r="M421" s="4">
        <v>67697.059431524598</v>
      </c>
      <c r="N421" s="4" t="s">
        <v>35</v>
      </c>
      <c r="O421" s="4">
        <v>0.35951675884532303</v>
      </c>
      <c r="P421" s="4">
        <v>0.22534760557696101</v>
      </c>
    </row>
    <row r="422" spans="1:16">
      <c r="A422" s="4" t="s">
        <v>883</v>
      </c>
      <c r="B422" s="4" t="s">
        <v>30</v>
      </c>
      <c r="C422" s="4" t="s">
        <v>884</v>
      </c>
      <c r="D422" s="4" t="s">
        <v>41</v>
      </c>
      <c r="E422" s="4" t="s">
        <v>50</v>
      </c>
      <c r="F422" s="4" t="s">
        <v>724</v>
      </c>
      <c r="G422" s="4">
        <v>1</v>
      </c>
      <c r="H422" s="4">
        <v>406</v>
      </c>
      <c r="I422" s="4">
        <v>26177593</v>
      </c>
      <c r="J422" s="4">
        <v>48</v>
      </c>
      <c r="K422" s="4">
        <v>8.4583333333333304</v>
      </c>
      <c r="L422" s="4">
        <v>545366.52083333302</v>
      </c>
      <c r="M422" s="4">
        <v>64476.830049261102</v>
      </c>
      <c r="N422" s="4" t="s">
        <v>54</v>
      </c>
      <c r="O422" s="4">
        <v>0.33591873783047999</v>
      </c>
      <c r="P422" s="4">
        <v>0.21067915108521201</v>
      </c>
    </row>
    <row r="423" spans="1:16">
      <c r="A423" s="4" t="s">
        <v>885</v>
      </c>
      <c r="B423" s="4" t="s">
        <v>30</v>
      </c>
      <c r="C423" s="4" t="s">
        <v>886</v>
      </c>
      <c r="D423" s="4" t="s">
        <v>41</v>
      </c>
      <c r="E423" s="4" t="s">
        <v>42</v>
      </c>
      <c r="F423" s="4" t="s">
        <v>724</v>
      </c>
      <c r="G423" s="4">
        <v>1</v>
      </c>
      <c r="H423" s="4">
        <v>401</v>
      </c>
      <c r="I423" s="4">
        <v>26126485</v>
      </c>
      <c r="J423" s="4">
        <v>48</v>
      </c>
      <c r="K423" s="4">
        <v>8.3541666666666696</v>
      </c>
      <c r="L423" s="4">
        <v>544301.77083333302</v>
      </c>
      <c r="M423" s="4">
        <v>65153.3291770574</v>
      </c>
      <c r="N423" s="4" t="s">
        <v>68</v>
      </c>
      <c r="O423" s="4">
        <v>0.48580962957703699</v>
      </c>
      <c r="P423" s="4">
        <v>0.30113786197755299</v>
      </c>
    </row>
    <row r="424" spans="1:16">
      <c r="A424" s="4" t="s">
        <v>887</v>
      </c>
      <c r="B424" s="4" t="s">
        <v>30</v>
      </c>
      <c r="C424" s="4" t="s">
        <v>888</v>
      </c>
      <c r="D424" s="4" t="s">
        <v>32</v>
      </c>
      <c r="E424" s="4" t="s">
        <v>67</v>
      </c>
      <c r="F424" s="4" t="s">
        <v>724</v>
      </c>
      <c r="G424" s="4">
        <v>1</v>
      </c>
      <c r="H424" s="4">
        <v>403</v>
      </c>
      <c r="I424" s="4">
        <v>26096674</v>
      </c>
      <c r="J424" s="4">
        <v>48</v>
      </c>
      <c r="K424" s="4">
        <v>8.3958333333333304</v>
      </c>
      <c r="L424" s="4">
        <v>543680.70833333302</v>
      </c>
      <c r="M424" s="4">
        <v>64756.0148883375</v>
      </c>
      <c r="N424" s="4" t="s">
        <v>54</v>
      </c>
      <c r="O424" s="4">
        <v>0.30058002793765998</v>
      </c>
      <c r="P424" s="4">
        <v>0.21399995610188899</v>
      </c>
    </row>
    <row r="425" spans="1:16">
      <c r="A425" s="4" t="s">
        <v>889</v>
      </c>
      <c r="B425" s="4" t="s">
        <v>30</v>
      </c>
      <c r="C425" s="4" t="s">
        <v>890</v>
      </c>
      <c r="D425" s="4" t="s">
        <v>41</v>
      </c>
      <c r="E425" s="4" t="s">
        <v>42</v>
      </c>
      <c r="F425" s="4" t="s">
        <v>724</v>
      </c>
      <c r="G425" s="4">
        <v>1</v>
      </c>
      <c r="H425" s="4">
        <v>370</v>
      </c>
      <c r="I425" s="4">
        <v>26009596</v>
      </c>
      <c r="J425" s="4">
        <v>48</v>
      </c>
      <c r="K425" s="4">
        <v>7.7083333333333304</v>
      </c>
      <c r="L425" s="4">
        <v>541866.58333333302</v>
      </c>
      <c r="M425" s="4">
        <v>70296.205405405402</v>
      </c>
      <c r="N425" s="4" t="s">
        <v>35</v>
      </c>
      <c r="O425" s="4">
        <v>0.20656333916143901</v>
      </c>
      <c r="P425" s="4">
        <v>0.169670980909229</v>
      </c>
    </row>
    <row r="426" spans="1:16">
      <c r="A426" s="4" t="s">
        <v>891</v>
      </c>
      <c r="B426" s="4" t="s">
        <v>30</v>
      </c>
      <c r="C426" s="4" t="s">
        <v>892</v>
      </c>
      <c r="D426" s="4" t="s">
        <v>32</v>
      </c>
      <c r="E426" s="4" t="s">
        <v>33</v>
      </c>
      <c r="F426" s="4" t="s">
        <v>724</v>
      </c>
      <c r="G426" s="4">
        <v>1</v>
      </c>
      <c r="H426" s="4">
        <v>392</v>
      </c>
      <c r="I426" s="4">
        <v>25860721</v>
      </c>
      <c r="J426" s="4">
        <v>48</v>
      </c>
      <c r="K426" s="4">
        <v>8.1666666666666696</v>
      </c>
      <c r="L426" s="4">
        <v>538765.02083333302</v>
      </c>
      <c r="M426" s="4">
        <v>65971.227040816302</v>
      </c>
      <c r="N426" s="4" t="s">
        <v>38</v>
      </c>
      <c r="O426" s="4">
        <v>0.38841287526360901</v>
      </c>
      <c r="P426" s="4">
        <v>0.24148842200647</v>
      </c>
    </row>
    <row r="427" spans="1:16">
      <c r="A427" s="4" t="s">
        <v>893</v>
      </c>
      <c r="B427" s="4" t="s">
        <v>30</v>
      </c>
      <c r="C427" s="4" t="s">
        <v>894</v>
      </c>
      <c r="D427" s="4" t="s">
        <v>32</v>
      </c>
      <c r="E427" s="4" t="s">
        <v>33</v>
      </c>
      <c r="F427" s="4" t="s">
        <v>724</v>
      </c>
      <c r="G427" s="4">
        <v>1</v>
      </c>
      <c r="H427" s="4">
        <v>371</v>
      </c>
      <c r="I427" s="4">
        <v>25826483</v>
      </c>
      <c r="J427" s="4">
        <v>48</v>
      </c>
      <c r="K427" s="4">
        <v>7.7291666666666696</v>
      </c>
      <c r="L427" s="4">
        <v>538051.72916666698</v>
      </c>
      <c r="M427" s="4">
        <v>69613.161725067403</v>
      </c>
      <c r="N427" s="4" t="s">
        <v>47</v>
      </c>
      <c r="O427" s="4">
        <v>0.44299287673044802</v>
      </c>
      <c r="P427" s="4">
        <v>0.27201407791500098</v>
      </c>
    </row>
    <row r="428" spans="1:16">
      <c r="A428" s="4" t="s">
        <v>895</v>
      </c>
      <c r="B428" s="4" t="s">
        <v>30</v>
      </c>
      <c r="C428" s="4" t="s">
        <v>896</v>
      </c>
      <c r="D428" s="4" t="s">
        <v>41</v>
      </c>
      <c r="E428" s="4" t="s">
        <v>50</v>
      </c>
      <c r="F428" s="4" t="s">
        <v>724</v>
      </c>
      <c r="G428" s="4">
        <v>1</v>
      </c>
      <c r="H428" s="4">
        <v>397</v>
      </c>
      <c r="I428" s="4">
        <v>25768671</v>
      </c>
      <c r="J428" s="4">
        <v>48</v>
      </c>
      <c r="K428" s="4">
        <v>8.2708333333333304</v>
      </c>
      <c r="L428" s="4">
        <v>536847.3125</v>
      </c>
      <c r="M428" s="4">
        <v>64908.491183879101</v>
      </c>
      <c r="N428" s="4" t="s">
        <v>68</v>
      </c>
      <c r="O428" s="4">
        <v>0.321340010123145</v>
      </c>
      <c r="P428" s="4">
        <v>0.202891205073123</v>
      </c>
    </row>
    <row r="429" spans="1:16">
      <c r="A429" s="4" t="s">
        <v>897</v>
      </c>
      <c r="B429" s="4" t="s">
        <v>30</v>
      </c>
      <c r="C429" s="4" t="s">
        <v>898</v>
      </c>
      <c r="D429" s="4" t="s">
        <v>41</v>
      </c>
      <c r="E429" s="4" t="s">
        <v>50</v>
      </c>
      <c r="F429" s="4" t="s">
        <v>724</v>
      </c>
      <c r="G429" s="4">
        <v>1</v>
      </c>
      <c r="H429" s="4">
        <v>414</v>
      </c>
      <c r="I429" s="4">
        <v>25752521</v>
      </c>
      <c r="J429" s="4">
        <v>48</v>
      </c>
      <c r="K429" s="4">
        <v>8.625</v>
      </c>
      <c r="L429" s="4">
        <v>536510.85416666698</v>
      </c>
      <c r="M429" s="4">
        <v>62204.1570048309</v>
      </c>
      <c r="N429" s="4" t="s">
        <v>35</v>
      </c>
      <c r="O429" s="4">
        <v>0.27370473748958402</v>
      </c>
      <c r="P429" s="4">
        <v>0.189634731818277</v>
      </c>
    </row>
    <row r="430" spans="1:16">
      <c r="A430" s="4" t="s">
        <v>899</v>
      </c>
      <c r="B430" s="4" t="s">
        <v>30</v>
      </c>
      <c r="C430" s="4" t="s">
        <v>900</v>
      </c>
      <c r="D430" s="4" t="s">
        <v>41</v>
      </c>
      <c r="E430" s="4" t="s">
        <v>50</v>
      </c>
      <c r="F430" s="4" t="s">
        <v>724</v>
      </c>
      <c r="G430" s="4">
        <v>1</v>
      </c>
      <c r="H430" s="4">
        <v>420</v>
      </c>
      <c r="I430" s="4">
        <v>25721319</v>
      </c>
      <c r="J430" s="4">
        <v>48</v>
      </c>
      <c r="K430" s="4">
        <v>8.75</v>
      </c>
      <c r="L430" s="4">
        <v>535860.8125</v>
      </c>
      <c r="M430" s="4">
        <v>61241.2357142857</v>
      </c>
      <c r="N430" s="4" t="s">
        <v>68</v>
      </c>
      <c r="O430" s="4">
        <v>0.27765601756270702</v>
      </c>
      <c r="P430" s="4">
        <v>0.19607207952936501</v>
      </c>
    </row>
    <row r="431" spans="1:16">
      <c r="A431" s="4" t="s">
        <v>901</v>
      </c>
      <c r="B431" s="4" t="s">
        <v>30</v>
      </c>
      <c r="C431" s="4" t="s">
        <v>902</v>
      </c>
      <c r="D431" s="4" t="s">
        <v>41</v>
      </c>
      <c r="E431" s="4" t="s">
        <v>42</v>
      </c>
      <c r="F431" s="4" t="s">
        <v>724</v>
      </c>
      <c r="G431" s="4">
        <v>1</v>
      </c>
      <c r="H431" s="4">
        <v>391</v>
      </c>
      <c r="I431" s="4">
        <v>25692654</v>
      </c>
      <c r="J431" s="4">
        <v>48</v>
      </c>
      <c r="K431" s="4">
        <v>8.1458333333333304</v>
      </c>
      <c r="L431" s="4">
        <v>535263.625</v>
      </c>
      <c r="M431" s="4">
        <v>65710.112531969295</v>
      </c>
      <c r="N431" s="4" t="s">
        <v>47</v>
      </c>
      <c r="O431" s="4">
        <v>0.25517426109424102</v>
      </c>
      <c r="P431" s="4">
        <v>0.20930909159915501</v>
      </c>
    </row>
    <row r="432" spans="1:16">
      <c r="A432" s="4" t="s">
        <v>903</v>
      </c>
      <c r="B432" s="4" t="s">
        <v>30</v>
      </c>
      <c r="C432" s="4" t="s">
        <v>904</v>
      </c>
      <c r="D432" s="4" t="s">
        <v>32</v>
      </c>
      <c r="E432" s="4" t="s">
        <v>67</v>
      </c>
      <c r="F432" s="4" t="s">
        <v>724</v>
      </c>
      <c r="G432" s="4">
        <v>1</v>
      </c>
      <c r="H432" s="4">
        <v>361</v>
      </c>
      <c r="I432" s="4">
        <v>25646105</v>
      </c>
      <c r="J432" s="4">
        <v>48</v>
      </c>
      <c r="K432" s="4">
        <v>7.5208333333333304</v>
      </c>
      <c r="L432" s="4">
        <v>534293.85416666698</v>
      </c>
      <c r="M432" s="4">
        <v>71041.842105263204</v>
      </c>
      <c r="N432" s="4" t="s">
        <v>54</v>
      </c>
      <c r="O432" s="4">
        <v>0.40211720259275202</v>
      </c>
      <c r="P432" s="4">
        <v>0.24647091444741101</v>
      </c>
    </row>
    <row r="433" spans="1:16">
      <c r="A433" s="4" t="s">
        <v>905</v>
      </c>
      <c r="B433" s="4" t="s">
        <v>30</v>
      </c>
      <c r="C433" s="4" t="s">
        <v>906</v>
      </c>
      <c r="D433" s="4" t="s">
        <v>32</v>
      </c>
      <c r="E433" s="4" t="s">
        <v>67</v>
      </c>
      <c r="F433" s="4" t="s">
        <v>724</v>
      </c>
      <c r="G433" s="4">
        <v>1</v>
      </c>
      <c r="H433" s="4">
        <v>402</v>
      </c>
      <c r="I433" s="4">
        <v>25575623</v>
      </c>
      <c r="J433" s="4">
        <v>48</v>
      </c>
      <c r="K433" s="4">
        <v>8.375</v>
      </c>
      <c r="L433" s="4">
        <v>532825.47916666698</v>
      </c>
      <c r="M433" s="4">
        <v>63620.952736318402</v>
      </c>
      <c r="N433" s="4" t="s">
        <v>51</v>
      </c>
      <c r="O433" s="4">
        <v>0.249053796265295</v>
      </c>
      <c r="P433" s="4">
        <v>0.182038343462748</v>
      </c>
    </row>
    <row r="434" spans="1:16">
      <c r="A434" s="4" t="s">
        <v>907</v>
      </c>
      <c r="B434" s="4" t="s">
        <v>30</v>
      </c>
      <c r="C434" s="4" t="s">
        <v>908</v>
      </c>
      <c r="D434" s="4" t="s">
        <v>32</v>
      </c>
      <c r="E434" s="4" t="s">
        <v>33</v>
      </c>
      <c r="F434" s="4" t="s">
        <v>724</v>
      </c>
      <c r="G434" s="4">
        <v>1</v>
      </c>
      <c r="H434" s="4">
        <v>368</v>
      </c>
      <c r="I434" s="4">
        <v>25433148</v>
      </c>
      <c r="J434" s="4">
        <v>48</v>
      </c>
      <c r="K434" s="4">
        <v>7.6666666666666696</v>
      </c>
      <c r="L434" s="4">
        <v>529857.25</v>
      </c>
      <c r="M434" s="4">
        <v>69111.815217391297</v>
      </c>
      <c r="N434" s="4" t="s">
        <v>35</v>
      </c>
      <c r="O434" s="4">
        <v>0.22035714965367201</v>
      </c>
      <c r="P434" s="4">
        <v>0.17217128814506999</v>
      </c>
    </row>
    <row r="435" spans="1:16">
      <c r="A435" s="4" t="s">
        <v>909</v>
      </c>
      <c r="B435" s="4" t="s">
        <v>30</v>
      </c>
      <c r="C435" s="4" t="s">
        <v>910</v>
      </c>
      <c r="D435" s="4" t="s">
        <v>41</v>
      </c>
      <c r="E435" s="4" t="s">
        <v>50</v>
      </c>
      <c r="F435" s="4" t="s">
        <v>724</v>
      </c>
      <c r="G435" s="4">
        <v>1</v>
      </c>
      <c r="H435" s="4">
        <v>426</v>
      </c>
      <c r="I435" s="4">
        <v>25378116.407035202</v>
      </c>
      <c r="J435" s="4">
        <v>48</v>
      </c>
      <c r="K435" s="4">
        <v>8.875</v>
      </c>
      <c r="L435" s="4">
        <v>528710.75847989996</v>
      </c>
      <c r="M435" s="4">
        <v>59573.043209002797</v>
      </c>
      <c r="N435" s="4" t="s">
        <v>54</v>
      </c>
      <c r="O435" s="4">
        <v>0.38043568108638498</v>
      </c>
      <c r="P435" s="4">
        <v>0.22856958568262201</v>
      </c>
    </row>
    <row r="436" spans="1:16">
      <c r="A436" s="4" t="s">
        <v>911</v>
      </c>
      <c r="B436" s="4" t="s">
        <v>30</v>
      </c>
      <c r="C436" s="4" t="s">
        <v>912</v>
      </c>
      <c r="D436" s="4" t="s">
        <v>32</v>
      </c>
      <c r="E436" s="4" t="s">
        <v>67</v>
      </c>
      <c r="F436" s="4" t="s">
        <v>724</v>
      </c>
      <c r="G436" s="4">
        <v>1</v>
      </c>
      <c r="H436" s="4">
        <v>417</v>
      </c>
      <c r="I436" s="4">
        <v>25339434</v>
      </c>
      <c r="J436" s="4">
        <v>48</v>
      </c>
      <c r="K436" s="4">
        <v>8.6875</v>
      </c>
      <c r="L436" s="4">
        <v>527904.875</v>
      </c>
      <c r="M436" s="4">
        <v>60766.028776978397</v>
      </c>
      <c r="N436" s="4" t="s">
        <v>35</v>
      </c>
      <c r="O436" s="4">
        <v>0.40393712030031897</v>
      </c>
      <c r="P436" s="4">
        <v>0.265085969724566</v>
      </c>
    </row>
    <row r="437" spans="1:16">
      <c r="A437" s="4" t="s">
        <v>913</v>
      </c>
      <c r="B437" s="4" t="s">
        <v>30</v>
      </c>
      <c r="C437" s="4" t="s">
        <v>914</v>
      </c>
      <c r="D437" s="4" t="s">
        <v>41</v>
      </c>
      <c r="E437" s="4" t="s">
        <v>42</v>
      </c>
      <c r="F437" s="4" t="s">
        <v>724</v>
      </c>
      <c r="G437" s="4">
        <v>1</v>
      </c>
      <c r="H437" s="4">
        <v>370</v>
      </c>
      <c r="I437" s="4">
        <v>25305007</v>
      </c>
      <c r="J437" s="4">
        <v>48</v>
      </c>
      <c r="K437" s="4">
        <v>7.7083333333333304</v>
      </c>
      <c r="L437" s="4">
        <v>527187.64583333302</v>
      </c>
      <c r="M437" s="4">
        <v>68391.910810810805</v>
      </c>
      <c r="N437" s="4" t="s">
        <v>35</v>
      </c>
      <c r="O437" s="4">
        <v>0.26584841490065603</v>
      </c>
      <c r="P437" s="4">
        <v>0.19433047208007501</v>
      </c>
    </row>
    <row r="438" spans="1:16">
      <c r="A438" s="4" t="s">
        <v>915</v>
      </c>
      <c r="B438" s="4" t="s">
        <v>30</v>
      </c>
      <c r="C438" s="4" t="s">
        <v>916</v>
      </c>
      <c r="D438" s="4" t="s">
        <v>32</v>
      </c>
      <c r="E438" s="4" t="s">
        <v>33</v>
      </c>
      <c r="F438" s="4" t="s">
        <v>724</v>
      </c>
      <c r="G438" s="4">
        <v>1</v>
      </c>
      <c r="H438" s="4">
        <v>409</v>
      </c>
      <c r="I438" s="4">
        <v>25290286</v>
      </c>
      <c r="J438" s="4">
        <v>48</v>
      </c>
      <c r="K438" s="4">
        <v>8.5208333333333304</v>
      </c>
      <c r="L438" s="4">
        <v>526880.95833333302</v>
      </c>
      <c r="M438" s="4">
        <v>61834.440097799503</v>
      </c>
      <c r="N438" s="4" t="s">
        <v>54</v>
      </c>
      <c r="O438" s="4">
        <v>0.43448733636306103</v>
      </c>
      <c r="P438" s="4">
        <v>0.25676311065204799</v>
      </c>
    </row>
    <row r="439" spans="1:16">
      <c r="A439" s="4" t="s">
        <v>917</v>
      </c>
      <c r="B439" s="4" t="s">
        <v>30</v>
      </c>
      <c r="C439" s="4" t="s">
        <v>918</v>
      </c>
      <c r="D439" s="4" t="s">
        <v>41</v>
      </c>
      <c r="E439" s="4" t="s">
        <v>42</v>
      </c>
      <c r="F439" s="4" t="s">
        <v>724</v>
      </c>
      <c r="G439" s="4">
        <v>1</v>
      </c>
      <c r="H439" s="4">
        <v>407</v>
      </c>
      <c r="I439" s="4">
        <v>25142017</v>
      </c>
      <c r="J439" s="4">
        <v>48</v>
      </c>
      <c r="K439" s="4">
        <v>8.4791666666666696</v>
      </c>
      <c r="L439" s="4">
        <v>523792.02083333302</v>
      </c>
      <c r="M439" s="4">
        <v>61773.997542997597</v>
      </c>
      <c r="N439" s="4" t="s">
        <v>68</v>
      </c>
      <c r="O439" s="4">
        <v>0.31885627951011303</v>
      </c>
      <c r="P439" s="4">
        <v>0.219126470676033</v>
      </c>
    </row>
    <row r="440" spans="1:16">
      <c r="A440" s="4" t="s">
        <v>919</v>
      </c>
      <c r="B440" s="4" t="s">
        <v>30</v>
      </c>
      <c r="C440" s="4" t="s">
        <v>920</v>
      </c>
      <c r="D440" s="4" t="s">
        <v>32</v>
      </c>
      <c r="E440" s="4" t="s">
        <v>33</v>
      </c>
      <c r="F440" s="4" t="s">
        <v>724</v>
      </c>
      <c r="G440" s="4">
        <v>1</v>
      </c>
      <c r="H440" s="4">
        <v>353</v>
      </c>
      <c r="I440" s="4">
        <v>24876667</v>
      </c>
      <c r="J440" s="4">
        <v>48</v>
      </c>
      <c r="K440" s="4">
        <v>7.3541666666666696</v>
      </c>
      <c r="L440" s="4">
        <v>518263.89583333302</v>
      </c>
      <c r="M440" s="4">
        <v>70472.144475920693</v>
      </c>
      <c r="N440" s="4" t="s">
        <v>51</v>
      </c>
      <c r="O440" s="4">
        <v>0.46901853853653303</v>
      </c>
      <c r="P440" s="4">
        <v>0.28636832219535202</v>
      </c>
    </row>
    <row r="441" spans="1:16">
      <c r="A441" s="4" t="s">
        <v>921</v>
      </c>
      <c r="B441" s="4" t="s">
        <v>30</v>
      </c>
      <c r="C441" s="4" t="s">
        <v>922</v>
      </c>
      <c r="D441" s="4" t="s">
        <v>41</v>
      </c>
      <c r="E441" s="4" t="s">
        <v>42</v>
      </c>
      <c r="F441" s="4" t="s">
        <v>724</v>
      </c>
      <c r="G441" s="4">
        <v>1</v>
      </c>
      <c r="H441" s="4">
        <v>397</v>
      </c>
      <c r="I441" s="4">
        <v>24862159</v>
      </c>
      <c r="J441" s="4">
        <v>48</v>
      </c>
      <c r="K441" s="4">
        <v>8.2708333333333304</v>
      </c>
      <c r="L441" s="4">
        <v>517961.64583333302</v>
      </c>
      <c r="M441" s="4">
        <v>62625.085642317397</v>
      </c>
      <c r="N441" s="4" t="s">
        <v>35</v>
      </c>
      <c r="O441" s="4">
        <v>0.267355381324687</v>
      </c>
      <c r="P441" s="4">
        <v>0.18523846222492099</v>
      </c>
    </row>
    <row r="442" spans="1:16">
      <c r="A442" s="4" t="s">
        <v>923</v>
      </c>
      <c r="B442" s="4" t="s">
        <v>30</v>
      </c>
      <c r="C442" s="4" t="s">
        <v>924</v>
      </c>
      <c r="D442" s="4" t="s">
        <v>41</v>
      </c>
      <c r="E442" s="4" t="s">
        <v>42</v>
      </c>
      <c r="F442" s="4" t="s">
        <v>724</v>
      </c>
      <c r="G442" s="4">
        <v>1</v>
      </c>
      <c r="H442" s="4">
        <v>392</v>
      </c>
      <c r="I442" s="4">
        <v>24833458</v>
      </c>
      <c r="J442" s="4">
        <v>48</v>
      </c>
      <c r="K442" s="4">
        <v>8.1666666666666696</v>
      </c>
      <c r="L442" s="4">
        <v>517363.70833333302</v>
      </c>
      <c r="M442" s="4">
        <v>63350.658163265303</v>
      </c>
      <c r="N442" s="4" t="s">
        <v>51</v>
      </c>
      <c r="O442" s="4">
        <v>0.35044736822395001</v>
      </c>
      <c r="P442" s="4">
        <v>0.238106611762503</v>
      </c>
    </row>
    <row r="443" spans="1:16">
      <c r="A443" s="4" t="s">
        <v>925</v>
      </c>
      <c r="B443" s="4" t="s">
        <v>30</v>
      </c>
      <c r="C443" s="4" t="s">
        <v>926</v>
      </c>
      <c r="D443" s="4" t="s">
        <v>32</v>
      </c>
      <c r="E443" s="4" t="s">
        <v>33</v>
      </c>
      <c r="F443" s="4" t="s">
        <v>724</v>
      </c>
      <c r="G443" s="4">
        <v>1</v>
      </c>
      <c r="H443" s="4">
        <v>427</v>
      </c>
      <c r="I443" s="4">
        <v>24768128</v>
      </c>
      <c r="J443" s="4">
        <v>48</v>
      </c>
      <c r="K443" s="4">
        <v>8.8958333333333304</v>
      </c>
      <c r="L443" s="4">
        <v>516002.66666666698</v>
      </c>
      <c r="M443" s="4">
        <v>58004.983606557398</v>
      </c>
      <c r="N443" s="4" t="s">
        <v>35</v>
      </c>
      <c r="O443" s="4">
        <v>0.25584089358711298</v>
      </c>
      <c r="P443" s="4">
        <v>0.187055474204782</v>
      </c>
    </row>
    <row r="444" spans="1:16">
      <c r="A444" s="4" t="s">
        <v>927</v>
      </c>
      <c r="B444" s="4" t="s">
        <v>30</v>
      </c>
      <c r="C444" s="4" t="s">
        <v>928</v>
      </c>
      <c r="D444" s="4" t="s">
        <v>32</v>
      </c>
      <c r="E444" s="4" t="s">
        <v>33</v>
      </c>
      <c r="F444" s="4" t="s">
        <v>724</v>
      </c>
      <c r="G444" s="4">
        <v>1</v>
      </c>
      <c r="H444" s="4">
        <v>384</v>
      </c>
      <c r="I444" s="4">
        <v>24712891</v>
      </c>
      <c r="J444" s="4">
        <v>48</v>
      </c>
      <c r="K444" s="4">
        <v>8</v>
      </c>
      <c r="L444" s="4">
        <v>514851.89583333302</v>
      </c>
      <c r="M444" s="4">
        <v>64356.486979166701</v>
      </c>
      <c r="N444" s="4" t="s">
        <v>54</v>
      </c>
      <c r="O444" s="4">
        <v>0.58162612379102097</v>
      </c>
      <c r="P444" s="4">
        <v>0.37819355595767901</v>
      </c>
    </row>
    <row r="445" spans="1:16">
      <c r="A445" s="4" t="s">
        <v>929</v>
      </c>
      <c r="B445" s="4" t="s">
        <v>30</v>
      </c>
      <c r="C445" s="4" t="s">
        <v>930</v>
      </c>
      <c r="D445" s="4" t="s">
        <v>32</v>
      </c>
      <c r="E445" s="4" t="s">
        <v>33</v>
      </c>
      <c r="F445" s="4" t="s">
        <v>724</v>
      </c>
      <c r="G445" s="4">
        <v>1</v>
      </c>
      <c r="H445" s="4">
        <v>361</v>
      </c>
      <c r="I445" s="4">
        <v>24643385</v>
      </c>
      <c r="J445" s="4">
        <v>48</v>
      </c>
      <c r="K445" s="4">
        <v>7.5208333333333304</v>
      </c>
      <c r="L445" s="4">
        <v>513403.85416666698</v>
      </c>
      <c r="M445" s="4">
        <v>68264.224376731305</v>
      </c>
      <c r="N445" s="4" t="s">
        <v>51</v>
      </c>
      <c r="O445" s="4">
        <v>0.36578323148382402</v>
      </c>
      <c r="P445" s="4">
        <v>0.23296918470723699</v>
      </c>
    </row>
    <row r="446" spans="1:16">
      <c r="A446" s="4" t="s">
        <v>931</v>
      </c>
      <c r="B446" s="4" t="s">
        <v>30</v>
      </c>
      <c r="C446" s="4" t="s">
        <v>932</v>
      </c>
      <c r="D446" s="4" t="s">
        <v>41</v>
      </c>
      <c r="E446" s="4" t="s">
        <v>50</v>
      </c>
      <c r="F446" s="4" t="s">
        <v>724</v>
      </c>
      <c r="G446" s="4">
        <v>1</v>
      </c>
      <c r="H446" s="4">
        <v>351</v>
      </c>
      <c r="I446" s="4">
        <v>24617043</v>
      </c>
      <c r="J446" s="4">
        <v>48</v>
      </c>
      <c r="K446" s="4">
        <v>7.3125</v>
      </c>
      <c r="L446" s="4">
        <v>512855.0625</v>
      </c>
      <c r="M446" s="4">
        <v>70134.025641025597</v>
      </c>
      <c r="N446" s="4" t="s">
        <v>47</v>
      </c>
      <c r="O446" s="4">
        <v>0.50185662022851396</v>
      </c>
      <c r="P446" s="4">
        <v>0.33429531186004802</v>
      </c>
    </row>
    <row r="447" spans="1:16">
      <c r="A447" s="4" t="s">
        <v>933</v>
      </c>
      <c r="B447" s="4" t="s">
        <v>30</v>
      </c>
      <c r="C447" s="4" t="s">
        <v>846</v>
      </c>
      <c r="D447" s="4" t="s">
        <v>41</v>
      </c>
      <c r="E447" s="4" t="s">
        <v>50</v>
      </c>
      <c r="F447" s="4" t="s">
        <v>724</v>
      </c>
      <c r="G447" s="4">
        <v>1</v>
      </c>
      <c r="H447" s="4">
        <v>406</v>
      </c>
      <c r="I447" s="4">
        <v>24554301</v>
      </c>
      <c r="J447" s="4">
        <v>48</v>
      </c>
      <c r="K447" s="4">
        <v>8.4583333333333304</v>
      </c>
      <c r="L447" s="4">
        <v>511547.9375</v>
      </c>
      <c r="M447" s="4">
        <v>60478.573891625601</v>
      </c>
      <c r="N447" s="4" t="s">
        <v>47</v>
      </c>
      <c r="O447" s="4">
        <v>0.48465928637105199</v>
      </c>
      <c r="P447" s="4">
        <v>0.28996143796331703</v>
      </c>
    </row>
    <row r="448" spans="1:16">
      <c r="A448" s="4" t="s">
        <v>934</v>
      </c>
      <c r="B448" s="4" t="s">
        <v>30</v>
      </c>
      <c r="C448" s="4" t="s">
        <v>935</v>
      </c>
      <c r="D448" s="4" t="s">
        <v>41</v>
      </c>
      <c r="E448" s="4" t="s">
        <v>50</v>
      </c>
      <c r="F448" s="4" t="s">
        <v>724</v>
      </c>
      <c r="G448" s="4">
        <v>1</v>
      </c>
      <c r="H448" s="4">
        <v>405</v>
      </c>
      <c r="I448" s="4">
        <v>24533946</v>
      </c>
      <c r="J448" s="4">
        <v>48</v>
      </c>
      <c r="K448" s="4">
        <v>8.4375</v>
      </c>
      <c r="L448" s="4">
        <v>511123.875</v>
      </c>
      <c r="M448" s="4">
        <v>60577.644444444399</v>
      </c>
      <c r="N448" s="4" t="s">
        <v>54</v>
      </c>
      <c r="O448" s="4">
        <v>0.31572976479201498</v>
      </c>
      <c r="P448" s="4">
        <v>0.215882995784343</v>
      </c>
    </row>
    <row r="449" spans="1:16">
      <c r="A449" s="4" t="s">
        <v>936</v>
      </c>
      <c r="B449" s="4" t="s">
        <v>30</v>
      </c>
      <c r="C449" s="4" t="s">
        <v>937</v>
      </c>
      <c r="D449" s="4" t="s">
        <v>32</v>
      </c>
      <c r="E449" s="4" t="s">
        <v>67</v>
      </c>
      <c r="F449" s="4" t="s">
        <v>724</v>
      </c>
      <c r="G449" s="4">
        <v>1</v>
      </c>
      <c r="H449" s="4">
        <v>389</v>
      </c>
      <c r="I449" s="4">
        <v>24471675</v>
      </c>
      <c r="J449" s="4">
        <v>48</v>
      </c>
      <c r="K449" s="4">
        <v>8.1041666666666696</v>
      </c>
      <c r="L449" s="4">
        <v>509826.5625</v>
      </c>
      <c r="M449" s="4">
        <v>62909.190231362503</v>
      </c>
      <c r="N449" s="4" t="s">
        <v>51</v>
      </c>
      <c r="O449" s="4">
        <v>0.42477590929104803</v>
      </c>
      <c r="P449" s="4">
        <v>0.289585667781114</v>
      </c>
    </row>
    <row r="450" spans="1:16">
      <c r="A450" s="4" t="s">
        <v>938</v>
      </c>
      <c r="B450" s="4" t="s">
        <v>30</v>
      </c>
      <c r="C450" s="4" t="s">
        <v>939</v>
      </c>
      <c r="D450" s="4" t="s">
        <v>32</v>
      </c>
      <c r="E450" s="4" t="s">
        <v>33</v>
      </c>
      <c r="F450" s="4" t="s">
        <v>724</v>
      </c>
      <c r="G450" s="4">
        <v>1</v>
      </c>
      <c r="H450" s="4">
        <v>378</v>
      </c>
      <c r="I450" s="4">
        <v>24462902</v>
      </c>
      <c r="J450" s="4">
        <v>48</v>
      </c>
      <c r="K450" s="4">
        <v>7.875</v>
      </c>
      <c r="L450" s="4">
        <v>509643.79166666698</v>
      </c>
      <c r="M450" s="4">
        <v>64716.671957671999</v>
      </c>
      <c r="N450" s="4" t="s">
        <v>54</v>
      </c>
      <c r="O450" s="4">
        <v>0.312055904078756</v>
      </c>
      <c r="P450" s="4">
        <v>0.22994245791182499</v>
      </c>
    </row>
    <row r="451" spans="1:16">
      <c r="A451" s="4" t="s">
        <v>940</v>
      </c>
      <c r="B451" s="4" t="s">
        <v>30</v>
      </c>
      <c r="C451" s="4" t="s">
        <v>941</v>
      </c>
      <c r="D451" s="4" t="s">
        <v>41</v>
      </c>
      <c r="E451" s="4" t="s">
        <v>42</v>
      </c>
      <c r="F451" s="4" t="s">
        <v>724</v>
      </c>
      <c r="G451" s="4">
        <v>1</v>
      </c>
      <c r="H451" s="4">
        <v>385</v>
      </c>
      <c r="I451" s="4">
        <v>24461745</v>
      </c>
      <c r="J451" s="4">
        <v>47</v>
      </c>
      <c r="K451" s="4">
        <v>8.1914893617021303</v>
      </c>
      <c r="L451" s="4">
        <v>520462.65957446798</v>
      </c>
      <c r="M451" s="4">
        <v>63537</v>
      </c>
      <c r="N451" s="4" t="s">
        <v>68</v>
      </c>
      <c r="O451" s="4">
        <v>0.47537131958492701</v>
      </c>
      <c r="P451" s="4">
        <v>0.29140228362690901</v>
      </c>
    </row>
    <row r="452" spans="1:16">
      <c r="A452" s="4" t="s">
        <v>942</v>
      </c>
      <c r="B452" s="4" t="s">
        <v>30</v>
      </c>
      <c r="C452" s="4" t="s">
        <v>943</v>
      </c>
      <c r="D452" s="4" t="s">
        <v>32</v>
      </c>
      <c r="E452" s="4" t="s">
        <v>67</v>
      </c>
      <c r="F452" s="4" t="s">
        <v>724</v>
      </c>
      <c r="G452" s="4">
        <v>1</v>
      </c>
      <c r="H452" s="4">
        <v>388</v>
      </c>
      <c r="I452" s="4">
        <v>24450589</v>
      </c>
      <c r="J452" s="4">
        <v>48</v>
      </c>
      <c r="K452" s="4">
        <v>8.0833333333333304</v>
      </c>
      <c r="L452" s="4">
        <v>509387.27083333302</v>
      </c>
      <c r="M452" s="4">
        <v>63016.981958762903</v>
      </c>
      <c r="N452" s="4" t="s">
        <v>68</v>
      </c>
      <c r="O452" s="4">
        <v>0.28250092461985299</v>
      </c>
      <c r="P452" s="4">
        <v>0.19725161392006399</v>
      </c>
    </row>
    <row r="453" spans="1:16">
      <c r="A453" s="4" t="s">
        <v>944</v>
      </c>
      <c r="B453" s="4" t="s">
        <v>30</v>
      </c>
      <c r="C453" s="4" t="s">
        <v>945</v>
      </c>
      <c r="D453" s="4" t="s">
        <v>32</v>
      </c>
      <c r="E453" s="4" t="s">
        <v>33</v>
      </c>
      <c r="F453" s="4" t="s">
        <v>724</v>
      </c>
      <c r="G453" s="4">
        <v>1</v>
      </c>
      <c r="H453" s="4">
        <v>392</v>
      </c>
      <c r="I453" s="4">
        <v>24254576</v>
      </c>
      <c r="J453" s="4">
        <v>48</v>
      </c>
      <c r="K453" s="4">
        <v>8.1666666666666696</v>
      </c>
      <c r="L453" s="4">
        <v>505303.66666666698</v>
      </c>
      <c r="M453" s="4">
        <v>61873.918367346902</v>
      </c>
      <c r="N453" s="4" t="s">
        <v>68</v>
      </c>
      <c r="O453" s="4">
        <v>0.43262182773263103</v>
      </c>
      <c r="P453" s="4">
        <v>0.27894912460551602</v>
      </c>
    </row>
    <row r="454" spans="1:16">
      <c r="A454" s="4" t="s">
        <v>946</v>
      </c>
      <c r="B454" s="4" t="s">
        <v>30</v>
      </c>
      <c r="C454" s="4" t="s">
        <v>947</v>
      </c>
      <c r="D454" s="4" t="s">
        <v>41</v>
      </c>
      <c r="E454" s="4" t="s">
        <v>42</v>
      </c>
      <c r="F454" s="4" t="s">
        <v>724</v>
      </c>
      <c r="G454" s="4">
        <v>1</v>
      </c>
      <c r="H454" s="4">
        <v>392</v>
      </c>
      <c r="I454" s="4">
        <v>24169351</v>
      </c>
      <c r="J454" s="4">
        <v>48</v>
      </c>
      <c r="K454" s="4">
        <v>8.1666666666666696</v>
      </c>
      <c r="L454" s="4">
        <v>503528.14583333302</v>
      </c>
      <c r="M454" s="4">
        <v>61656.507653061199</v>
      </c>
      <c r="N454" s="4" t="s">
        <v>68</v>
      </c>
      <c r="O454" s="4">
        <v>0.30717456997500697</v>
      </c>
      <c r="P454" s="4">
        <v>0.20107035357861999</v>
      </c>
    </row>
    <row r="455" spans="1:16">
      <c r="A455" s="4" t="s">
        <v>948</v>
      </c>
      <c r="B455" s="4" t="s">
        <v>30</v>
      </c>
      <c r="C455" s="4" t="s">
        <v>949</v>
      </c>
      <c r="D455" s="4" t="s">
        <v>41</v>
      </c>
      <c r="E455" s="4" t="s">
        <v>42</v>
      </c>
      <c r="F455" s="4" t="s">
        <v>724</v>
      </c>
      <c r="G455" s="4">
        <v>1</v>
      </c>
      <c r="H455" s="4">
        <v>364</v>
      </c>
      <c r="I455" s="4">
        <v>24011986</v>
      </c>
      <c r="J455" s="4">
        <v>48</v>
      </c>
      <c r="K455" s="4">
        <v>7.5833333333333304</v>
      </c>
      <c r="L455" s="4">
        <v>500249.70833333302</v>
      </c>
      <c r="M455" s="4">
        <v>65966.994505494498</v>
      </c>
      <c r="N455" s="4" t="s">
        <v>38</v>
      </c>
      <c r="O455" s="4">
        <v>0.43745386158396099</v>
      </c>
      <c r="P455" s="4">
        <v>0.26364355346461699</v>
      </c>
    </row>
    <row r="456" spans="1:16">
      <c r="A456" s="4" t="s">
        <v>950</v>
      </c>
      <c r="B456" s="4" t="s">
        <v>30</v>
      </c>
      <c r="C456" s="4" t="s">
        <v>951</v>
      </c>
      <c r="D456" s="4" t="s">
        <v>41</v>
      </c>
      <c r="E456" s="4" t="s">
        <v>42</v>
      </c>
      <c r="F456" s="4" t="s">
        <v>724</v>
      </c>
      <c r="G456" s="4">
        <v>1</v>
      </c>
      <c r="H456" s="4">
        <v>403</v>
      </c>
      <c r="I456" s="4">
        <v>23946371</v>
      </c>
      <c r="J456" s="4">
        <v>48</v>
      </c>
      <c r="K456" s="4">
        <v>8.3958333333333304</v>
      </c>
      <c r="L456" s="4">
        <v>498882.72916666698</v>
      </c>
      <c r="M456" s="4">
        <v>59420.275434243202</v>
      </c>
      <c r="N456" s="4" t="s">
        <v>47</v>
      </c>
      <c r="O456" s="4">
        <v>0.311349974490916</v>
      </c>
      <c r="P456" s="4">
        <v>0.21187203530503501</v>
      </c>
    </row>
    <row r="457" spans="1:16">
      <c r="A457" s="4" t="s">
        <v>952</v>
      </c>
      <c r="B457" s="4" t="s">
        <v>30</v>
      </c>
      <c r="C457" s="4" t="s">
        <v>953</v>
      </c>
      <c r="D457" s="4" t="s">
        <v>41</v>
      </c>
      <c r="E457" s="4" t="s">
        <v>50</v>
      </c>
      <c r="F457" s="4" t="s">
        <v>724</v>
      </c>
      <c r="G457" s="4">
        <v>1</v>
      </c>
      <c r="H457" s="4">
        <v>373</v>
      </c>
      <c r="I457" s="4">
        <v>23902163.199999999</v>
      </c>
      <c r="J457" s="4">
        <v>48</v>
      </c>
      <c r="K457" s="4">
        <v>7.7708333333333304</v>
      </c>
      <c r="L457" s="4">
        <v>497961.73333333299</v>
      </c>
      <c r="M457" s="4">
        <v>64080.866487935702</v>
      </c>
      <c r="N457" s="4" t="s">
        <v>47</v>
      </c>
      <c r="O457" s="4">
        <v>0.33236452004478001</v>
      </c>
      <c r="P457" s="4">
        <v>0.20134013262488701</v>
      </c>
    </row>
    <row r="458" spans="1:16">
      <c r="A458" s="4" t="s">
        <v>954</v>
      </c>
      <c r="B458" s="4" t="s">
        <v>30</v>
      </c>
      <c r="C458" s="4" t="s">
        <v>955</v>
      </c>
      <c r="D458" s="4" t="s">
        <v>32</v>
      </c>
      <c r="E458" s="4" t="s">
        <v>33</v>
      </c>
      <c r="F458" s="4" t="s">
        <v>724</v>
      </c>
      <c r="G458" s="4">
        <v>1</v>
      </c>
      <c r="H458" s="4">
        <v>378</v>
      </c>
      <c r="I458" s="4">
        <v>23867707</v>
      </c>
      <c r="J458" s="4">
        <v>48</v>
      </c>
      <c r="K458" s="4">
        <v>7.875</v>
      </c>
      <c r="L458" s="4">
        <v>497243.89583333302</v>
      </c>
      <c r="M458" s="4">
        <v>63142.082010582002</v>
      </c>
      <c r="N458" s="4" t="s">
        <v>51</v>
      </c>
      <c r="O458" s="4">
        <v>0.45671375134611802</v>
      </c>
      <c r="P458" s="4">
        <v>0.27542194748239401</v>
      </c>
    </row>
    <row r="459" spans="1:16">
      <c r="A459" s="4" t="s">
        <v>956</v>
      </c>
      <c r="B459" s="4" t="s">
        <v>30</v>
      </c>
      <c r="C459" s="4" t="s">
        <v>957</v>
      </c>
      <c r="D459" s="4" t="s">
        <v>32</v>
      </c>
      <c r="E459" s="4" t="s">
        <v>67</v>
      </c>
      <c r="F459" s="4" t="s">
        <v>724</v>
      </c>
      <c r="G459" s="4">
        <v>1</v>
      </c>
      <c r="H459" s="4">
        <v>415</v>
      </c>
      <c r="I459" s="4">
        <v>23762988</v>
      </c>
      <c r="J459" s="4">
        <v>48</v>
      </c>
      <c r="K459" s="4">
        <v>8.6458333333333304</v>
      </c>
      <c r="L459" s="4">
        <v>495062.25</v>
      </c>
      <c r="M459" s="4">
        <v>57260.2120481928</v>
      </c>
      <c r="N459" s="4" t="s">
        <v>51</v>
      </c>
      <c r="O459" s="4">
        <v>0.327425027526</v>
      </c>
      <c r="P459" s="4">
        <v>0.20781923268094499</v>
      </c>
    </row>
    <row r="460" spans="1:16">
      <c r="A460" s="4" t="s">
        <v>958</v>
      </c>
      <c r="B460" s="4" t="s">
        <v>30</v>
      </c>
      <c r="C460" s="4" t="s">
        <v>959</v>
      </c>
      <c r="D460" s="4" t="s">
        <v>41</v>
      </c>
      <c r="E460" s="4" t="s">
        <v>50</v>
      </c>
      <c r="F460" s="4" t="s">
        <v>724</v>
      </c>
      <c r="G460" s="4">
        <v>1</v>
      </c>
      <c r="H460" s="4">
        <v>369</v>
      </c>
      <c r="I460" s="4">
        <v>23566905</v>
      </c>
      <c r="J460" s="4">
        <v>48</v>
      </c>
      <c r="K460" s="4">
        <v>7.6875</v>
      </c>
      <c r="L460" s="4">
        <v>490977.1875</v>
      </c>
      <c r="M460" s="4">
        <v>63866.951219512201</v>
      </c>
      <c r="N460" s="4" t="s">
        <v>54</v>
      </c>
      <c r="O460" s="4">
        <v>0.29229069324122098</v>
      </c>
      <c r="P460" s="4">
        <v>0.209134675802023</v>
      </c>
    </row>
    <row r="461" spans="1:16">
      <c r="A461" s="4" t="s">
        <v>960</v>
      </c>
      <c r="B461" s="4" t="s">
        <v>30</v>
      </c>
      <c r="C461" s="4" t="s">
        <v>961</v>
      </c>
      <c r="D461" s="4" t="s">
        <v>41</v>
      </c>
      <c r="E461" s="4" t="s">
        <v>42</v>
      </c>
      <c r="F461" s="4" t="s">
        <v>724</v>
      </c>
      <c r="G461" s="4">
        <v>1</v>
      </c>
      <c r="H461" s="4">
        <v>370</v>
      </c>
      <c r="I461" s="4">
        <v>23473886</v>
      </c>
      <c r="J461" s="4">
        <v>48</v>
      </c>
      <c r="K461" s="4">
        <v>7.7083333333333304</v>
      </c>
      <c r="L461" s="4">
        <v>489039.29166666698</v>
      </c>
      <c r="M461" s="4">
        <v>63442.9351351351</v>
      </c>
      <c r="N461" s="4" t="s">
        <v>35</v>
      </c>
      <c r="O461" s="4">
        <v>0.37921556746079499</v>
      </c>
      <c r="P461" s="4">
        <v>0.261936772972854</v>
      </c>
    </row>
    <row r="462" spans="1:16">
      <c r="A462" s="4" t="s">
        <v>962</v>
      </c>
      <c r="B462" s="4" t="s">
        <v>30</v>
      </c>
      <c r="C462" s="4" t="s">
        <v>963</v>
      </c>
      <c r="D462" s="4" t="s">
        <v>32</v>
      </c>
      <c r="E462" s="4" t="s">
        <v>33</v>
      </c>
      <c r="F462" s="4" t="s">
        <v>724</v>
      </c>
      <c r="G462" s="4">
        <v>1</v>
      </c>
      <c r="H462" s="4">
        <v>402</v>
      </c>
      <c r="I462" s="4">
        <v>23460867</v>
      </c>
      <c r="J462" s="4">
        <v>48</v>
      </c>
      <c r="K462" s="4">
        <v>8.375</v>
      </c>
      <c r="L462" s="4">
        <v>488768.0625</v>
      </c>
      <c r="M462" s="4">
        <v>58360.365671641797</v>
      </c>
      <c r="N462" s="4" t="s">
        <v>51</v>
      </c>
      <c r="O462" s="4">
        <v>0.40041137439635099</v>
      </c>
      <c r="P462" s="4">
        <v>0.26739201959292103</v>
      </c>
    </row>
    <row r="463" spans="1:16">
      <c r="A463" s="4" t="s">
        <v>964</v>
      </c>
      <c r="B463" s="4" t="s">
        <v>30</v>
      </c>
      <c r="C463" s="4" t="s">
        <v>965</v>
      </c>
      <c r="D463" s="4" t="s">
        <v>41</v>
      </c>
      <c r="E463" s="4" t="s">
        <v>50</v>
      </c>
      <c r="F463" s="4" t="s">
        <v>724</v>
      </c>
      <c r="G463" s="4">
        <v>1</v>
      </c>
      <c r="H463" s="4">
        <v>429</v>
      </c>
      <c r="I463" s="4">
        <v>23393254</v>
      </c>
      <c r="J463" s="4">
        <v>48</v>
      </c>
      <c r="K463" s="4">
        <v>8.9375</v>
      </c>
      <c r="L463" s="4">
        <v>487359.45833333302</v>
      </c>
      <c r="M463" s="4">
        <v>54529.729603729596</v>
      </c>
      <c r="N463" s="4" t="s">
        <v>47</v>
      </c>
      <c r="O463" s="4">
        <v>0.39109903222527298</v>
      </c>
      <c r="P463" s="4">
        <v>0.23669307213531701</v>
      </c>
    </row>
    <row r="464" spans="1:16">
      <c r="A464" s="4" t="s">
        <v>966</v>
      </c>
      <c r="B464" s="4" t="s">
        <v>30</v>
      </c>
      <c r="C464" s="4" t="s">
        <v>967</v>
      </c>
      <c r="D464" s="4" t="s">
        <v>41</v>
      </c>
      <c r="E464" s="4" t="s">
        <v>42</v>
      </c>
      <c r="F464" s="4" t="s">
        <v>724</v>
      </c>
      <c r="G464" s="4">
        <v>1</v>
      </c>
      <c r="H464" s="4">
        <v>370</v>
      </c>
      <c r="I464" s="4">
        <v>23371565</v>
      </c>
      <c r="J464" s="4">
        <v>48</v>
      </c>
      <c r="K464" s="4">
        <v>7.7083333333333304</v>
      </c>
      <c r="L464" s="4">
        <v>486907.60416666698</v>
      </c>
      <c r="M464" s="4">
        <v>63166.391891891901</v>
      </c>
      <c r="N464" s="4" t="s">
        <v>38</v>
      </c>
      <c r="O464" s="4">
        <v>0.34257551858422802</v>
      </c>
      <c r="P464" s="4">
        <v>0.25514015099197801</v>
      </c>
    </row>
    <row r="465" spans="1:16">
      <c r="A465" s="4" t="s">
        <v>968</v>
      </c>
      <c r="B465" s="4" t="s">
        <v>30</v>
      </c>
      <c r="C465" s="4" t="s">
        <v>969</v>
      </c>
      <c r="D465" s="4" t="s">
        <v>32</v>
      </c>
      <c r="E465" s="4" t="s">
        <v>33</v>
      </c>
      <c r="F465" s="4" t="s">
        <v>724</v>
      </c>
      <c r="G465" s="4">
        <v>1</v>
      </c>
      <c r="H465" s="4">
        <v>437</v>
      </c>
      <c r="I465" s="4">
        <v>23370239</v>
      </c>
      <c r="J465" s="4">
        <v>48</v>
      </c>
      <c r="K465" s="4">
        <v>9.1041666666666696</v>
      </c>
      <c r="L465" s="4">
        <v>486879.97916666698</v>
      </c>
      <c r="M465" s="4">
        <v>53478.8077803204</v>
      </c>
      <c r="N465" s="4" t="s">
        <v>54</v>
      </c>
      <c r="O465" s="4">
        <v>0.27761607401618799</v>
      </c>
      <c r="P465" s="4">
        <v>0.188998857761114</v>
      </c>
    </row>
    <row r="466" spans="1:16">
      <c r="A466" s="4" t="s">
        <v>970</v>
      </c>
      <c r="B466" s="4" t="s">
        <v>30</v>
      </c>
      <c r="C466" s="4" t="s">
        <v>971</v>
      </c>
      <c r="D466" s="4" t="s">
        <v>41</v>
      </c>
      <c r="E466" s="4" t="s">
        <v>42</v>
      </c>
      <c r="F466" s="4" t="s">
        <v>724</v>
      </c>
      <c r="G466" s="4">
        <v>1</v>
      </c>
      <c r="H466" s="4">
        <v>421</v>
      </c>
      <c r="I466" s="4">
        <v>23313821</v>
      </c>
      <c r="J466" s="4">
        <v>48</v>
      </c>
      <c r="K466" s="4">
        <v>8.7708333333333304</v>
      </c>
      <c r="L466" s="4">
        <v>485704.60416666698</v>
      </c>
      <c r="M466" s="4">
        <v>55377.247030878898</v>
      </c>
      <c r="N466" s="4" t="s">
        <v>51</v>
      </c>
      <c r="O466" s="4">
        <v>0.293531077552667</v>
      </c>
      <c r="P466" s="4">
        <v>0.196329229775695</v>
      </c>
    </row>
    <row r="467" spans="1:16">
      <c r="A467" s="4" t="s">
        <v>972</v>
      </c>
      <c r="B467" s="4" t="s">
        <v>30</v>
      </c>
      <c r="C467" s="4" t="s">
        <v>973</v>
      </c>
      <c r="D467" s="4" t="s">
        <v>32</v>
      </c>
      <c r="E467" s="4" t="s">
        <v>67</v>
      </c>
      <c r="F467" s="4" t="s">
        <v>724</v>
      </c>
      <c r="G467" s="4">
        <v>1</v>
      </c>
      <c r="H467" s="4">
        <v>376</v>
      </c>
      <c r="I467" s="4">
        <v>23306130</v>
      </c>
      <c r="J467" s="4">
        <v>48</v>
      </c>
      <c r="K467" s="4">
        <v>7.8333333333333304</v>
      </c>
      <c r="L467" s="4">
        <v>485544.375</v>
      </c>
      <c r="M467" s="4">
        <v>61984.388297872298</v>
      </c>
      <c r="N467" s="4" t="s">
        <v>51</v>
      </c>
      <c r="O467" s="4">
        <v>0.427951916512952</v>
      </c>
      <c r="P467" s="4">
        <v>0.287603681971903</v>
      </c>
    </row>
    <row r="468" spans="1:16">
      <c r="A468" s="4" t="s">
        <v>974</v>
      </c>
      <c r="B468" s="4" t="s">
        <v>30</v>
      </c>
      <c r="C468" s="4" t="s">
        <v>975</v>
      </c>
      <c r="D468" s="4" t="s">
        <v>41</v>
      </c>
      <c r="E468" s="4" t="s">
        <v>42</v>
      </c>
      <c r="F468" s="4" t="s">
        <v>724</v>
      </c>
      <c r="G468" s="4">
        <v>1</v>
      </c>
      <c r="H468" s="4">
        <v>382</v>
      </c>
      <c r="I468" s="4">
        <v>23303292</v>
      </c>
      <c r="J468" s="4">
        <v>48</v>
      </c>
      <c r="K468" s="4">
        <v>7.9583333333333304</v>
      </c>
      <c r="L468" s="4">
        <v>485485.25</v>
      </c>
      <c r="M468" s="4">
        <v>61003.382198952902</v>
      </c>
      <c r="N468" s="4" t="s">
        <v>35</v>
      </c>
      <c r="O468" s="4">
        <v>0.27942764481516202</v>
      </c>
      <c r="P468" s="4">
        <v>0.19923452781413101</v>
      </c>
    </row>
    <row r="469" spans="1:16">
      <c r="A469" s="4" t="s">
        <v>976</v>
      </c>
      <c r="B469" s="4" t="s">
        <v>30</v>
      </c>
      <c r="C469" s="4" t="s">
        <v>977</v>
      </c>
      <c r="D469" s="4" t="s">
        <v>41</v>
      </c>
      <c r="E469" s="4" t="s">
        <v>42</v>
      </c>
      <c r="F469" s="4" t="s">
        <v>724</v>
      </c>
      <c r="G469" s="4">
        <v>1</v>
      </c>
      <c r="H469" s="4">
        <v>418</v>
      </c>
      <c r="I469" s="4">
        <v>23174533</v>
      </c>
      <c r="J469" s="4">
        <v>48</v>
      </c>
      <c r="K469" s="4">
        <v>8.7083333333333304</v>
      </c>
      <c r="L469" s="4">
        <v>482802.77083333302</v>
      </c>
      <c r="M469" s="4">
        <v>55441.466507177</v>
      </c>
      <c r="N469" s="4" t="s">
        <v>35</v>
      </c>
      <c r="O469" s="4">
        <v>0.39881545833091903</v>
      </c>
      <c r="P469" s="4">
        <v>0.24593714324302801</v>
      </c>
    </row>
    <row r="470" spans="1:16">
      <c r="A470" s="4" t="s">
        <v>978</v>
      </c>
      <c r="B470" s="4" t="s">
        <v>30</v>
      </c>
      <c r="C470" s="4" t="s">
        <v>979</v>
      </c>
      <c r="D470" s="4" t="s">
        <v>41</v>
      </c>
      <c r="E470" s="4" t="s">
        <v>42</v>
      </c>
      <c r="F470" s="4" t="s">
        <v>724</v>
      </c>
      <c r="G470" s="4">
        <v>1</v>
      </c>
      <c r="H470" s="4">
        <v>378</v>
      </c>
      <c r="I470" s="4">
        <v>23151949</v>
      </c>
      <c r="J470" s="4">
        <v>48</v>
      </c>
      <c r="K470" s="4">
        <v>7.875</v>
      </c>
      <c r="L470" s="4">
        <v>482332.27083333302</v>
      </c>
      <c r="M470" s="4">
        <v>61248.542328042298</v>
      </c>
      <c r="N470" s="4" t="s">
        <v>54</v>
      </c>
      <c r="O470" s="4">
        <v>0.48782648925151001</v>
      </c>
      <c r="P470" s="4">
        <v>0.29214745187789198</v>
      </c>
    </row>
    <row r="471" spans="1:16">
      <c r="A471" s="4" t="s">
        <v>980</v>
      </c>
      <c r="B471" s="4" t="s">
        <v>30</v>
      </c>
      <c r="C471" s="4" t="s">
        <v>981</v>
      </c>
      <c r="D471" s="4" t="s">
        <v>41</v>
      </c>
      <c r="E471" s="4" t="s">
        <v>50</v>
      </c>
      <c r="F471" s="4" t="s">
        <v>724</v>
      </c>
      <c r="G471" s="4">
        <v>1</v>
      </c>
      <c r="H471" s="4">
        <v>422</v>
      </c>
      <c r="I471" s="4">
        <v>23135473</v>
      </c>
      <c r="J471" s="4">
        <v>48</v>
      </c>
      <c r="K471" s="4">
        <v>8.7916666666666696</v>
      </c>
      <c r="L471" s="4">
        <v>481989.02083333302</v>
      </c>
      <c r="M471" s="4">
        <v>54823.395734597201</v>
      </c>
      <c r="N471" s="4" t="s">
        <v>54</v>
      </c>
      <c r="O471" s="4">
        <v>0.36401914065037699</v>
      </c>
      <c r="P471" s="4">
        <v>0.229556782720712</v>
      </c>
    </row>
    <row r="472" spans="1:16">
      <c r="A472" s="4" t="s">
        <v>982</v>
      </c>
      <c r="B472" s="4" t="s">
        <v>30</v>
      </c>
      <c r="C472" s="4" t="s">
        <v>983</v>
      </c>
      <c r="D472" s="4" t="s">
        <v>32</v>
      </c>
      <c r="E472" s="4" t="s">
        <v>67</v>
      </c>
      <c r="F472" s="4" t="s">
        <v>724</v>
      </c>
      <c r="G472" s="4">
        <v>1</v>
      </c>
      <c r="H472" s="4">
        <v>400</v>
      </c>
      <c r="I472" s="4">
        <v>23133178</v>
      </c>
      <c r="J472" s="4">
        <v>48</v>
      </c>
      <c r="K472" s="4">
        <v>8.3333333333333304</v>
      </c>
      <c r="L472" s="4">
        <v>481941.20833333302</v>
      </c>
      <c r="M472" s="4">
        <v>57832.945</v>
      </c>
      <c r="N472" s="4" t="s">
        <v>54</v>
      </c>
      <c r="O472" s="4">
        <v>0.38844991379913302</v>
      </c>
      <c r="P472" s="4">
        <v>0.24736735557384501</v>
      </c>
    </row>
    <row r="473" spans="1:16">
      <c r="A473" s="4" t="s">
        <v>984</v>
      </c>
      <c r="B473" s="4" t="s">
        <v>30</v>
      </c>
      <c r="C473" s="4" t="s">
        <v>985</v>
      </c>
      <c r="D473" s="4" t="s">
        <v>41</v>
      </c>
      <c r="E473" s="4" t="s">
        <v>42</v>
      </c>
      <c r="F473" s="4" t="s">
        <v>724</v>
      </c>
      <c r="G473" s="4">
        <v>1</v>
      </c>
      <c r="H473" s="4">
        <v>374</v>
      </c>
      <c r="I473" s="4">
        <v>23000519</v>
      </c>
      <c r="J473" s="4">
        <v>48</v>
      </c>
      <c r="K473" s="4">
        <v>7.7916666666666696</v>
      </c>
      <c r="L473" s="4">
        <v>479177.47916666698</v>
      </c>
      <c r="M473" s="4">
        <v>61498.713903743301</v>
      </c>
      <c r="N473" s="4" t="s">
        <v>51</v>
      </c>
      <c r="O473" s="4">
        <v>0.244140447439469</v>
      </c>
      <c r="P473" s="4">
        <v>0.20133596772406301</v>
      </c>
    </row>
    <row r="474" spans="1:16">
      <c r="A474" s="4" t="s">
        <v>986</v>
      </c>
      <c r="B474" s="4" t="s">
        <v>30</v>
      </c>
      <c r="C474" s="4" t="s">
        <v>987</v>
      </c>
      <c r="D474" s="4" t="s">
        <v>32</v>
      </c>
      <c r="E474" s="4" t="s">
        <v>67</v>
      </c>
      <c r="F474" s="4" t="s">
        <v>724</v>
      </c>
      <c r="G474" s="4">
        <v>1</v>
      </c>
      <c r="H474" s="4">
        <v>392</v>
      </c>
      <c r="I474" s="4">
        <v>22849800</v>
      </c>
      <c r="J474" s="4">
        <v>48</v>
      </c>
      <c r="K474" s="4">
        <v>8.1666666666666696</v>
      </c>
      <c r="L474" s="4">
        <v>476037.5</v>
      </c>
      <c r="M474" s="4">
        <v>58290.306122449001</v>
      </c>
      <c r="N474" s="4" t="s">
        <v>54</v>
      </c>
      <c r="O474" s="4">
        <v>0.46545838475610302</v>
      </c>
      <c r="P474" s="4">
        <v>0.28991038173783901</v>
      </c>
    </row>
    <row r="475" spans="1:16">
      <c r="A475" s="4" t="s">
        <v>988</v>
      </c>
      <c r="B475" s="4" t="s">
        <v>30</v>
      </c>
      <c r="C475" s="4" t="s">
        <v>989</v>
      </c>
      <c r="D475" s="4" t="s">
        <v>32</v>
      </c>
      <c r="E475" s="4" t="s">
        <v>33</v>
      </c>
      <c r="F475" s="4" t="s">
        <v>724</v>
      </c>
      <c r="G475" s="4">
        <v>1</v>
      </c>
      <c r="H475" s="4">
        <v>371</v>
      </c>
      <c r="I475" s="4">
        <v>22827209</v>
      </c>
      <c r="J475" s="4">
        <v>48</v>
      </c>
      <c r="K475" s="4">
        <v>7.7291666666666696</v>
      </c>
      <c r="L475" s="4">
        <v>475566.85416666698</v>
      </c>
      <c r="M475" s="4">
        <v>61528.865229110503</v>
      </c>
      <c r="N475" s="4" t="s">
        <v>51</v>
      </c>
      <c r="O475" s="4">
        <v>0.29552618543949</v>
      </c>
      <c r="P475" s="4">
        <v>0.19987570617116299</v>
      </c>
    </row>
    <row r="476" spans="1:16">
      <c r="A476" s="4" t="s">
        <v>990</v>
      </c>
      <c r="B476" s="4" t="s">
        <v>30</v>
      </c>
      <c r="C476" s="4" t="s">
        <v>991</v>
      </c>
      <c r="D476" s="4" t="s">
        <v>41</v>
      </c>
      <c r="E476" s="4" t="s">
        <v>42</v>
      </c>
      <c r="F476" s="4" t="s">
        <v>724</v>
      </c>
      <c r="G476" s="4">
        <v>1</v>
      </c>
      <c r="H476" s="4">
        <v>407</v>
      </c>
      <c r="I476" s="4">
        <v>22818672</v>
      </c>
      <c r="J476" s="4">
        <v>48</v>
      </c>
      <c r="K476" s="4">
        <v>8.4791666666666696</v>
      </c>
      <c r="L476" s="4">
        <v>475389</v>
      </c>
      <c r="M476" s="4">
        <v>56065.533169533199</v>
      </c>
      <c r="N476" s="4" t="s">
        <v>51</v>
      </c>
      <c r="O476" s="4">
        <v>0.38563076764502302</v>
      </c>
      <c r="P476" s="4">
        <v>0.23041683434242199</v>
      </c>
    </row>
    <row r="477" spans="1:16">
      <c r="A477" s="4" t="s">
        <v>992</v>
      </c>
      <c r="B477" s="4" t="s">
        <v>30</v>
      </c>
      <c r="C477" s="4" t="s">
        <v>993</v>
      </c>
      <c r="D477" s="4" t="s">
        <v>32</v>
      </c>
      <c r="E477" s="4" t="s">
        <v>33</v>
      </c>
      <c r="F477" s="4" t="s">
        <v>724</v>
      </c>
      <c r="G477" s="4">
        <v>1</v>
      </c>
      <c r="H477" s="4">
        <v>420</v>
      </c>
      <c r="I477" s="4">
        <v>22630547</v>
      </c>
      <c r="J477" s="4">
        <v>48</v>
      </c>
      <c r="K477" s="4">
        <v>8.75</v>
      </c>
      <c r="L477" s="4">
        <v>471469.72916666698</v>
      </c>
      <c r="M477" s="4">
        <v>53882.254761904798</v>
      </c>
      <c r="N477" s="4" t="s">
        <v>35</v>
      </c>
      <c r="O477" s="4">
        <v>0.28101105996244802</v>
      </c>
      <c r="P477" s="4">
        <v>0.213129453189875</v>
      </c>
    </row>
    <row r="478" spans="1:16">
      <c r="A478" s="4" t="s">
        <v>994</v>
      </c>
      <c r="B478" s="4" t="s">
        <v>30</v>
      </c>
      <c r="C478" s="4" t="s">
        <v>995</v>
      </c>
      <c r="D478" s="4" t="s">
        <v>41</v>
      </c>
      <c r="E478" s="4" t="s">
        <v>42</v>
      </c>
      <c r="F478" s="4" t="s">
        <v>724</v>
      </c>
      <c r="G478" s="4">
        <v>1</v>
      </c>
      <c r="H478" s="4">
        <v>392</v>
      </c>
      <c r="I478" s="4">
        <v>22617294</v>
      </c>
      <c r="J478" s="4">
        <v>48</v>
      </c>
      <c r="K478" s="4">
        <v>8.1666666666666696</v>
      </c>
      <c r="L478" s="4">
        <v>471193.625</v>
      </c>
      <c r="M478" s="4">
        <v>57697.178571428602</v>
      </c>
      <c r="N478" s="4" t="s">
        <v>54</v>
      </c>
      <c r="O478" s="4">
        <v>0.46584777117899301</v>
      </c>
      <c r="P478" s="4">
        <v>0.28957647478904103</v>
      </c>
    </row>
    <row r="479" spans="1:16">
      <c r="A479" s="4" t="s">
        <v>996</v>
      </c>
      <c r="B479" s="4" t="s">
        <v>30</v>
      </c>
      <c r="C479" s="4" t="s">
        <v>997</v>
      </c>
      <c r="D479" s="4" t="s">
        <v>41</v>
      </c>
      <c r="E479" s="4" t="s">
        <v>42</v>
      </c>
      <c r="F479" s="4" t="s">
        <v>724</v>
      </c>
      <c r="G479" s="4">
        <v>1</v>
      </c>
      <c r="H479" s="4">
        <v>390</v>
      </c>
      <c r="I479" s="4">
        <v>22613614</v>
      </c>
      <c r="J479" s="4">
        <v>48</v>
      </c>
      <c r="K479" s="4">
        <v>8.125</v>
      </c>
      <c r="L479" s="4">
        <v>471116.95833333302</v>
      </c>
      <c r="M479" s="4">
        <v>57983.625641025603</v>
      </c>
      <c r="N479" s="4" t="s">
        <v>68</v>
      </c>
      <c r="O479" s="4">
        <v>0.44306447434717899</v>
      </c>
      <c r="P479" s="4">
        <v>0.269346777260912</v>
      </c>
    </row>
    <row r="480" spans="1:16">
      <c r="A480" s="4" t="s">
        <v>998</v>
      </c>
      <c r="B480" s="4" t="s">
        <v>30</v>
      </c>
      <c r="C480" s="4" t="s">
        <v>999</v>
      </c>
      <c r="D480" s="4" t="s">
        <v>41</v>
      </c>
      <c r="E480" s="4" t="s">
        <v>50</v>
      </c>
      <c r="F480" s="4" t="s">
        <v>724</v>
      </c>
      <c r="G480" s="4">
        <v>1</v>
      </c>
      <c r="H480" s="4">
        <v>399</v>
      </c>
      <c r="I480" s="4">
        <v>22575320</v>
      </c>
      <c r="J480" s="4">
        <v>48</v>
      </c>
      <c r="K480" s="4">
        <v>8.3125</v>
      </c>
      <c r="L480" s="4">
        <v>470319.16666666698</v>
      </c>
      <c r="M480" s="4">
        <v>56579.749373433602</v>
      </c>
      <c r="N480" s="4" t="s">
        <v>38</v>
      </c>
      <c r="O480" s="4">
        <v>0.395333443778427</v>
      </c>
      <c r="P480" s="4">
        <v>0.25573455288788999</v>
      </c>
    </row>
    <row r="481" spans="1:16">
      <c r="A481" s="4" t="s">
        <v>1000</v>
      </c>
      <c r="B481" s="4" t="s">
        <v>30</v>
      </c>
      <c r="C481" s="4" t="s">
        <v>1001</v>
      </c>
      <c r="D481" s="4" t="s">
        <v>41</v>
      </c>
      <c r="E481" s="4" t="s">
        <v>50</v>
      </c>
      <c r="F481" s="4" t="s">
        <v>724</v>
      </c>
      <c r="G481" s="4">
        <v>1</v>
      </c>
      <c r="H481" s="4">
        <v>404</v>
      </c>
      <c r="I481" s="4">
        <v>22559996</v>
      </c>
      <c r="J481" s="4">
        <v>48</v>
      </c>
      <c r="K481" s="4">
        <v>8.4166666666666696</v>
      </c>
      <c r="L481" s="4">
        <v>469999.91666666698</v>
      </c>
      <c r="M481" s="4">
        <v>55841.574257425797</v>
      </c>
      <c r="N481" s="4" t="s">
        <v>68</v>
      </c>
      <c r="O481" s="4">
        <v>0.32829358657687702</v>
      </c>
      <c r="P481" s="4">
        <v>0.21776373605673599</v>
      </c>
    </row>
    <row r="482" spans="1:16">
      <c r="A482" s="4" t="s">
        <v>1002</v>
      </c>
      <c r="B482" s="4" t="s">
        <v>30</v>
      </c>
      <c r="C482" s="4" t="s">
        <v>1003</v>
      </c>
      <c r="D482" s="4" t="s">
        <v>32</v>
      </c>
      <c r="E482" s="4" t="s">
        <v>33</v>
      </c>
      <c r="F482" s="4" t="s">
        <v>724</v>
      </c>
      <c r="G482" s="4">
        <v>1</v>
      </c>
      <c r="H482" s="4">
        <v>341</v>
      </c>
      <c r="I482" s="4">
        <v>22515286</v>
      </c>
      <c r="J482" s="4">
        <v>48</v>
      </c>
      <c r="K482" s="4">
        <v>7.1041666666666696</v>
      </c>
      <c r="L482" s="4">
        <v>469068.45833333302</v>
      </c>
      <c r="M482" s="4">
        <v>66027.231671554298</v>
      </c>
      <c r="N482" s="4" t="s">
        <v>68</v>
      </c>
      <c r="O482" s="4">
        <v>0.23374257826438399</v>
      </c>
      <c r="P482" s="4">
        <v>0.183162905159551</v>
      </c>
    </row>
    <row r="483" spans="1:16">
      <c r="A483" s="4" t="s">
        <v>1004</v>
      </c>
      <c r="B483" s="4" t="s">
        <v>30</v>
      </c>
      <c r="C483" s="4" t="s">
        <v>1005</v>
      </c>
      <c r="D483" s="4" t="s">
        <v>41</v>
      </c>
      <c r="E483" s="4" t="s">
        <v>42</v>
      </c>
      <c r="F483" s="4" t="s">
        <v>724</v>
      </c>
      <c r="G483" s="4">
        <v>1</v>
      </c>
      <c r="H483" s="4">
        <v>376</v>
      </c>
      <c r="I483" s="4">
        <v>22473558</v>
      </c>
      <c r="J483" s="4">
        <v>47</v>
      </c>
      <c r="K483" s="4">
        <v>8</v>
      </c>
      <c r="L483" s="4">
        <v>478160.80851063802</v>
      </c>
      <c r="M483" s="4">
        <v>59770.101063829803</v>
      </c>
      <c r="N483" s="4" t="s">
        <v>51</v>
      </c>
      <c r="O483" s="4">
        <v>0.66877198528154702</v>
      </c>
      <c r="P483" s="4">
        <v>0.48014387415293103</v>
      </c>
    </row>
    <row r="484" spans="1:16">
      <c r="A484" s="4" t="s">
        <v>1006</v>
      </c>
      <c r="B484" s="4" t="s">
        <v>30</v>
      </c>
      <c r="C484" s="4" t="s">
        <v>1007</v>
      </c>
      <c r="D484" s="4" t="s">
        <v>41</v>
      </c>
      <c r="E484" s="4" t="s">
        <v>50</v>
      </c>
      <c r="F484" s="4" t="s">
        <v>724</v>
      </c>
      <c r="G484" s="4">
        <v>1</v>
      </c>
      <c r="H484" s="4">
        <v>384</v>
      </c>
      <c r="I484" s="4">
        <v>22438560</v>
      </c>
      <c r="J484" s="4">
        <v>48</v>
      </c>
      <c r="K484" s="4">
        <v>8</v>
      </c>
      <c r="L484" s="4">
        <v>467470</v>
      </c>
      <c r="M484" s="4">
        <v>58433.75</v>
      </c>
      <c r="N484" s="4" t="s">
        <v>35</v>
      </c>
      <c r="O484" s="4">
        <v>0.28142398620945402</v>
      </c>
      <c r="P484" s="4">
        <v>0.209660091034305</v>
      </c>
    </row>
    <row r="485" spans="1:16">
      <c r="A485" s="4" t="s">
        <v>1008</v>
      </c>
      <c r="B485" s="4" t="s">
        <v>30</v>
      </c>
      <c r="C485" s="4" t="s">
        <v>1009</v>
      </c>
      <c r="D485" s="4" t="s">
        <v>41</v>
      </c>
      <c r="E485" s="4" t="s">
        <v>50</v>
      </c>
      <c r="F485" s="4" t="s">
        <v>724</v>
      </c>
      <c r="G485" s="4">
        <v>1</v>
      </c>
      <c r="H485" s="4">
        <v>380</v>
      </c>
      <c r="I485" s="4">
        <v>22310763</v>
      </c>
      <c r="J485" s="4">
        <v>48</v>
      </c>
      <c r="K485" s="4">
        <v>7.9166666666666696</v>
      </c>
      <c r="L485" s="4">
        <v>464807.5625</v>
      </c>
      <c r="M485" s="4">
        <v>58712.534210526297</v>
      </c>
      <c r="N485" s="4" t="s">
        <v>35</v>
      </c>
      <c r="O485" s="4">
        <v>0.27343816076572502</v>
      </c>
      <c r="P485" s="4">
        <v>0.19792159541881699</v>
      </c>
    </row>
    <row r="486" spans="1:16">
      <c r="A486" s="4" t="s">
        <v>1010</v>
      </c>
      <c r="B486" s="4" t="s">
        <v>30</v>
      </c>
      <c r="C486" s="4" t="s">
        <v>1011</v>
      </c>
      <c r="D486" s="4" t="s">
        <v>41</v>
      </c>
      <c r="E486" s="4" t="s">
        <v>42</v>
      </c>
      <c r="F486" s="4" t="s">
        <v>724</v>
      </c>
      <c r="G486" s="4">
        <v>1</v>
      </c>
      <c r="H486" s="4">
        <v>378</v>
      </c>
      <c r="I486" s="4">
        <v>22282456</v>
      </c>
      <c r="J486" s="4">
        <v>48</v>
      </c>
      <c r="K486" s="4">
        <v>7.875</v>
      </c>
      <c r="L486" s="4">
        <v>464217.83333333302</v>
      </c>
      <c r="M486" s="4">
        <v>58948.296296296299</v>
      </c>
      <c r="N486" s="4" t="s">
        <v>47</v>
      </c>
      <c r="O486" s="4">
        <v>0.29535200249020999</v>
      </c>
      <c r="P486" s="4">
        <v>0.20641439390479099</v>
      </c>
    </row>
    <row r="487" spans="1:16">
      <c r="A487" s="4" t="s">
        <v>1012</v>
      </c>
      <c r="B487" s="4" t="s">
        <v>30</v>
      </c>
      <c r="C487" s="4" t="s">
        <v>1013</v>
      </c>
      <c r="D487" s="4" t="s">
        <v>32</v>
      </c>
      <c r="E487" s="4" t="s">
        <v>33</v>
      </c>
      <c r="F487" s="4" t="s">
        <v>724</v>
      </c>
      <c r="G487" s="4">
        <v>1</v>
      </c>
      <c r="H487" s="4">
        <v>376</v>
      </c>
      <c r="I487" s="4">
        <v>22217841</v>
      </c>
      <c r="J487" s="4">
        <v>48</v>
      </c>
      <c r="K487" s="4">
        <v>7.8333333333333304</v>
      </c>
      <c r="L487" s="4">
        <v>462871.6875</v>
      </c>
      <c r="M487" s="4">
        <v>59090.0026595745</v>
      </c>
      <c r="N487" s="4" t="s">
        <v>68</v>
      </c>
      <c r="O487" s="4">
        <v>0.24915962806647099</v>
      </c>
      <c r="P487" s="4">
        <v>0.192192872906955</v>
      </c>
    </row>
    <row r="488" spans="1:16">
      <c r="A488" s="4" t="s">
        <v>1014</v>
      </c>
      <c r="B488" s="4" t="s">
        <v>30</v>
      </c>
      <c r="C488" s="4" t="s">
        <v>1015</v>
      </c>
      <c r="D488" s="4" t="s">
        <v>41</v>
      </c>
      <c r="E488" s="4" t="s">
        <v>50</v>
      </c>
      <c r="F488" s="4" t="s">
        <v>724</v>
      </c>
      <c r="G488" s="4">
        <v>1</v>
      </c>
      <c r="H488" s="4">
        <v>380</v>
      </c>
      <c r="I488" s="4">
        <v>22199526</v>
      </c>
      <c r="J488" s="4">
        <v>48</v>
      </c>
      <c r="K488" s="4">
        <v>7.9166666666666696</v>
      </c>
      <c r="L488" s="4">
        <v>462490.125</v>
      </c>
      <c r="M488" s="4">
        <v>58419.805263157898</v>
      </c>
      <c r="N488" s="4" t="s">
        <v>51</v>
      </c>
      <c r="O488" s="4">
        <v>0.52263678963235505</v>
      </c>
      <c r="P488" s="4">
        <v>0.32488071571242899</v>
      </c>
    </row>
    <row r="489" spans="1:16">
      <c r="A489" s="4" t="s">
        <v>1016</v>
      </c>
      <c r="B489" s="4" t="s">
        <v>30</v>
      </c>
      <c r="C489" s="4" t="s">
        <v>1017</v>
      </c>
      <c r="D489" s="4" t="s">
        <v>41</v>
      </c>
      <c r="E489" s="4" t="s">
        <v>50</v>
      </c>
      <c r="F489" s="4" t="s">
        <v>724</v>
      </c>
      <c r="G489" s="4">
        <v>1</v>
      </c>
      <c r="H489" s="4">
        <v>381</v>
      </c>
      <c r="I489" s="4">
        <v>22126737</v>
      </c>
      <c r="J489" s="4">
        <v>48</v>
      </c>
      <c r="K489" s="4">
        <v>7.9375</v>
      </c>
      <c r="L489" s="4">
        <v>460973.6875</v>
      </c>
      <c r="M489" s="4">
        <v>58075.425196850403</v>
      </c>
      <c r="N489" s="4" t="s">
        <v>35</v>
      </c>
      <c r="O489" s="4">
        <v>0.30486740995746497</v>
      </c>
      <c r="P489" s="4">
        <v>0.19255022845958999</v>
      </c>
    </row>
    <row r="490" spans="1:16">
      <c r="A490" s="4" t="s">
        <v>1018</v>
      </c>
      <c r="B490" s="4" t="s">
        <v>30</v>
      </c>
      <c r="C490" s="4" t="s">
        <v>1019</v>
      </c>
      <c r="D490" s="4" t="s">
        <v>41</v>
      </c>
      <c r="E490" s="4" t="s">
        <v>50</v>
      </c>
      <c r="F490" s="4" t="s">
        <v>724</v>
      </c>
      <c r="G490" s="4">
        <v>1</v>
      </c>
      <c r="H490" s="4">
        <v>396</v>
      </c>
      <c r="I490" s="4">
        <v>22097548</v>
      </c>
      <c r="J490" s="4">
        <v>48</v>
      </c>
      <c r="K490" s="4">
        <v>8.25</v>
      </c>
      <c r="L490" s="4">
        <v>460365.58333333302</v>
      </c>
      <c r="M490" s="4">
        <v>55801.888888888898</v>
      </c>
      <c r="N490" s="4" t="s">
        <v>35</v>
      </c>
      <c r="O490" s="4">
        <v>0.32408536910973101</v>
      </c>
      <c r="P490" s="4">
        <v>0.208976337955042</v>
      </c>
    </row>
    <row r="491" spans="1:16">
      <c r="A491" s="4" t="s">
        <v>1020</v>
      </c>
      <c r="B491" s="4" t="s">
        <v>30</v>
      </c>
      <c r="C491" s="4" t="s">
        <v>1021</v>
      </c>
      <c r="D491" s="4" t="s">
        <v>41</v>
      </c>
      <c r="E491" s="4" t="s">
        <v>42</v>
      </c>
      <c r="F491" s="4" t="s">
        <v>724</v>
      </c>
      <c r="G491" s="4">
        <v>1</v>
      </c>
      <c r="H491" s="4">
        <v>403</v>
      </c>
      <c r="I491" s="4">
        <v>22043224</v>
      </c>
      <c r="J491" s="4">
        <v>48</v>
      </c>
      <c r="K491" s="4">
        <v>8.3958333333333304</v>
      </c>
      <c r="L491" s="4">
        <v>459233.83333333302</v>
      </c>
      <c r="M491" s="4">
        <v>54697.826302729503</v>
      </c>
      <c r="N491" s="4" t="s">
        <v>68</v>
      </c>
      <c r="O491" s="4">
        <v>0.30894351025966099</v>
      </c>
      <c r="P491" s="4">
        <v>0.194761449076922</v>
      </c>
    </row>
    <row r="492" spans="1:16">
      <c r="A492" s="4" t="s">
        <v>1022</v>
      </c>
      <c r="B492" s="4" t="s">
        <v>30</v>
      </c>
      <c r="C492" s="4" t="s">
        <v>1023</v>
      </c>
      <c r="D492" s="4" t="s">
        <v>32</v>
      </c>
      <c r="E492" s="4" t="s">
        <v>33</v>
      </c>
      <c r="F492" s="4" t="s">
        <v>724</v>
      </c>
      <c r="G492" s="4">
        <v>1</v>
      </c>
      <c r="H492" s="4">
        <v>408</v>
      </c>
      <c r="I492" s="4">
        <v>22042100.202429201</v>
      </c>
      <c r="J492" s="4">
        <v>48</v>
      </c>
      <c r="K492" s="4">
        <v>8.5</v>
      </c>
      <c r="L492" s="4">
        <v>459210.420883941</v>
      </c>
      <c r="M492" s="4">
        <v>54024.755398110698</v>
      </c>
      <c r="N492" s="4" t="s">
        <v>51</v>
      </c>
      <c r="O492" s="4">
        <v>0.32882116193271099</v>
      </c>
      <c r="P492" s="4">
        <v>0.216757599826295</v>
      </c>
    </row>
    <row r="493" spans="1:16">
      <c r="A493" s="4" t="s">
        <v>1024</v>
      </c>
      <c r="B493" s="4" t="s">
        <v>30</v>
      </c>
      <c r="C493" s="4" t="s">
        <v>1025</v>
      </c>
      <c r="D493" s="4" t="s">
        <v>41</v>
      </c>
      <c r="E493" s="4" t="s">
        <v>42</v>
      </c>
      <c r="F493" s="4" t="s">
        <v>724</v>
      </c>
      <c r="G493" s="4">
        <v>1</v>
      </c>
      <c r="H493" s="4">
        <v>393</v>
      </c>
      <c r="I493" s="4">
        <v>22007985</v>
      </c>
      <c r="J493" s="4">
        <v>48</v>
      </c>
      <c r="K493" s="4">
        <v>8.1875</v>
      </c>
      <c r="L493" s="4">
        <v>458499.6875</v>
      </c>
      <c r="M493" s="4">
        <v>55999.961832061097</v>
      </c>
      <c r="N493" s="4" t="s">
        <v>47</v>
      </c>
      <c r="O493" s="4">
        <v>0.406341698251794</v>
      </c>
      <c r="P493" s="4">
        <v>0.239417492626848</v>
      </c>
    </row>
    <row r="494" spans="1:16">
      <c r="A494" s="4" t="s">
        <v>1026</v>
      </c>
      <c r="B494" s="4" t="s">
        <v>30</v>
      </c>
      <c r="C494" s="4" t="s">
        <v>1027</v>
      </c>
      <c r="D494" s="4" t="s">
        <v>32</v>
      </c>
      <c r="E494" s="4" t="s">
        <v>33</v>
      </c>
      <c r="F494" s="4" t="s">
        <v>724</v>
      </c>
      <c r="G494" s="4">
        <v>1</v>
      </c>
      <c r="H494" s="4">
        <v>380</v>
      </c>
      <c r="I494" s="4">
        <v>21966431</v>
      </c>
      <c r="J494" s="4">
        <v>48</v>
      </c>
      <c r="K494" s="4">
        <v>7.9166666666666696</v>
      </c>
      <c r="L494" s="4">
        <v>457633.97916666698</v>
      </c>
      <c r="M494" s="4">
        <v>57806.397368421101</v>
      </c>
      <c r="N494" s="4" t="s">
        <v>68</v>
      </c>
      <c r="O494" s="4">
        <v>0.34803236811660498</v>
      </c>
      <c r="P494" s="4">
        <v>0.22182123877721599</v>
      </c>
    </row>
    <row r="495" spans="1:16">
      <c r="A495" s="4" t="s">
        <v>1028</v>
      </c>
      <c r="B495" s="4" t="s">
        <v>30</v>
      </c>
      <c r="C495" s="4" t="s">
        <v>1029</v>
      </c>
      <c r="D495" s="4" t="s">
        <v>41</v>
      </c>
      <c r="E495" s="4" t="s">
        <v>42</v>
      </c>
      <c r="F495" s="4" t="s">
        <v>724</v>
      </c>
      <c r="G495" s="4">
        <v>1</v>
      </c>
      <c r="H495" s="4">
        <v>384</v>
      </c>
      <c r="I495" s="4">
        <v>21947346</v>
      </c>
      <c r="J495" s="4">
        <v>48</v>
      </c>
      <c r="K495" s="4">
        <v>8</v>
      </c>
      <c r="L495" s="4">
        <v>457236.375</v>
      </c>
      <c r="M495" s="4">
        <v>57154.546875</v>
      </c>
      <c r="N495" s="4" t="s">
        <v>51</v>
      </c>
      <c r="O495" s="4">
        <v>0.34077915388949498</v>
      </c>
      <c r="P495" s="4">
        <v>0.22532415766870301</v>
      </c>
    </row>
    <row r="496" spans="1:16">
      <c r="A496" s="4" t="s">
        <v>1030</v>
      </c>
      <c r="B496" s="4" t="s">
        <v>30</v>
      </c>
      <c r="C496" s="4" t="s">
        <v>1031</v>
      </c>
      <c r="D496" s="4" t="s">
        <v>41</v>
      </c>
      <c r="E496" s="4" t="s">
        <v>42</v>
      </c>
      <c r="F496" s="4" t="s">
        <v>724</v>
      </c>
      <c r="G496" s="4">
        <v>1</v>
      </c>
      <c r="H496" s="4">
        <v>420</v>
      </c>
      <c r="I496" s="4">
        <v>21825298</v>
      </c>
      <c r="J496" s="4">
        <v>48</v>
      </c>
      <c r="K496" s="4">
        <v>8.75</v>
      </c>
      <c r="L496" s="4">
        <v>454693.70833333302</v>
      </c>
      <c r="M496" s="4">
        <v>51964.995238095202</v>
      </c>
      <c r="N496" s="4" t="s">
        <v>35</v>
      </c>
      <c r="O496" s="4">
        <v>0.22519756660367299</v>
      </c>
      <c r="P496" s="4">
        <v>0.18063229242776699</v>
      </c>
    </row>
    <row r="497" spans="1:16">
      <c r="A497" s="4" t="s">
        <v>1032</v>
      </c>
      <c r="B497" s="4" t="s">
        <v>30</v>
      </c>
      <c r="C497" s="4" t="s">
        <v>1033</v>
      </c>
      <c r="D497" s="4" t="s">
        <v>41</v>
      </c>
      <c r="E497" s="4" t="s">
        <v>42</v>
      </c>
      <c r="F497" s="4" t="s">
        <v>724</v>
      </c>
      <c r="G497" s="4">
        <v>1</v>
      </c>
      <c r="H497" s="4">
        <v>372</v>
      </c>
      <c r="I497" s="4">
        <v>21782008</v>
      </c>
      <c r="J497" s="4">
        <v>48</v>
      </c>
      <c r="K497" s="4">
        <v>7.75</v>
      </c>
      <c r="L497" s="4">
        <v>453791.83333333302</v>
      </c>
      <c r="M497" s="4">
        <v>58553.784946236599</v>
      </c>
      <c r="N497" s="4" t="s">
        <v>54</v>
      </c>
      <c r="O497" s="4">
        <v>0.31054662178069198</v>
      </c>
      <c r="P497" s="4">
        <v>0.198111870935854</v>
      </c>
    </row>
    <row r="498" spans="1:16">
      <c r="A498" s="4" t="s">
        <v>1034</v>
      </c>
      <c r="B498" s="4" t="s">
        <v>30</v>
      </c>
      <c r="C498" s="4" t="s">
        <v>1035</v>
      </c>
      <c r="D498" s="4" t="s">
        <v>32</v>
      </c>
      <c r="E498" s="4" t="s">
        <v>67</v>
      </c>
      <c r="F498" s="4" t="s">
        <v>724</v>
      </c>
      <c r="G498" s="4">
        <v>1</v>
      </c>
      <c r="H498" s="4">
        <v>386</v>
      </c>
      <c r="I498" s="4">
        <v>21770674</v>
      </c>
      <c r="J498" s="4">
        <v>48</v>
      </c>
      <c r="K498" s="4">
        <v>8.0416666666666696</v>
      </c>
      <c r="L498" s="4">
        <v>453555.70833333302</v>
      </c>
      <c r="M498" s="4">
        <v>56400.709844559598</v>
      </c>
      <c r="N498" s="4" t="s">
        <v>47</v>
      </c>
      <c r="O498" s="4">
        <v>0.42988471555818603</v>
      </c>
      <c r="P498" s="4">
        <v>0.27748608402382402</v>
      </c>
    </row>
    <row r="499" spans="1:16">
      <c r="A499" s="4" t="s">
        <v>1036</v>
      </c>
      <c r="B499" s="4" t="s">
        <v>30</v>
      </c>
      <c r="C499" s="4" t="s">
        <v>1037</v>
      </c>
      <c r="D499" s="4" t="s">
        <v>41</v>
      </c>
      <c r="E499" s="4" t="s">
        <v>42</v>
      </c>
      <c r="F499" s="4" t="s">
        <v>724</v>
      </c>
      <c r="G499" s="4">
        <v>1</v>
      </c>
      <c r="H499" s="4">
        <v>408</v>
      </c>
      <c r="I499" s="4">
        <v>21760605</v>
      </c>
      <c r="J499" s="4">
        <v>48</v>
      </c>
      <c r="K499" s="4">
        <v>8.5</v>
      </c>
      <c r="L499" s="4">
        <v>453345.9375</v>
      </c>
      <c r="M499" s="4">
        <v>53334.816176470602</v>
      </c>
      <c r="N499" s="4" t="s">
        <v>35</v>
      </c>
      <c r="O499" s="4">
        <v>0.50626699027899302</v>
      </c>
      <c r="P499" s="4">
        <v>0.31347019007871302</v>
      </c>
    </row>
    <row r="500" spans="1:16">
      <c r="A500" s="4" t="s">
        <v>1038</v>
      </c>
      <c r="B500" s="4" t="s">
        <v>30</v>
      </c>
      <c r="C500" s="4" t="s">
        <v>1039</v>
      </c>
      <c r="D500" s="4" t="s">
        <v>41</v>
      </c>
      <c r="E500" s="4" t="s">
        <v>42</v>
      </c>
      <c r="F500" s="4" t="s">
        <v>724</v>
      </c>
      <c r="G500" s="4">
        <v>1</v>
      </c>
      <c r="H500" s="4">
        <v>410</v>
      </c>
      <c r="I500" s="4">
        <v>21740500</v>
      </c>
      <c r="J500" s="4">
        <v>48</v>
      </c>
      <c r="K500" s="4">
        <v>8.5416666666666696</v>
      </c>
      <c r="L500" s="4">
        <v>452927.08333333302</v>
      </c>
      <c r="M500" s="4">
        <v>53025.609756097598</v>
      </c>
      <c r="N500" s="4" t="s">
        <v>35</v>
      </c>
      <c r="O500" s="4">
        <v>0.222269681010096</v>
      </c>
      <c r="P500" s="4">
        <v>0.18669145916925001</v>
      </c>
    </row>
    <row r="501" spans="1:16">
      <c r="A501" s="4" t="s">
        <v>1040</v>
      </c>
      <c r="B501" s="4" t="s">
        <v>30</v>
      </c>
      <c r="C501" s="4" t="s">
        <v>1041</v>
      </c>
      <c r="D501" s="4" t="s">
        <v>41</v>
      </c>
      <c r="E501" s="4" t="s">
        <v>50</v>
      </c>
      <c r="F501" s="4" t="s">
        <v>724</v>
      </c>
      <c r="G501" s="4">
        <v>1</v>
      </c>
      <c r="H501" s="4">
        <v>372</v>
      </c>
      <c r="I501" s="4">
        <v>21735153.778894499</v>
      </c>
      <c r="J501" s="4">
        <v>48</v>
      </c>
      <c r="K501" s="4">
        <v>7.75</v>
      </c>
      <c r="L501" s="4">
        <v>452815.70372696797</v>
      </c>
      <c r="M501" s="4">
        <v>58427.832738963603</v>
      </c>
      <c r="N501" s="4" t="s">
        <v>51</v>
      </c>
      <c r="O501" s="4">
        <v>0.29245317716899899</v>
      </c>
      <c r="P501" s="4">
        <v>0.206576594998061</v>
      </c>
    </row>
    <row r="502" spans="1:16">
      <c r="A502" s="4" t="s">
        <v>1042</v>
      </c>
      <c r="B502" s="4" t="s">
        <v>30</v>
      </c>
      <c r="C502" s="4" t="s">
        <v>1043</v>
      </c>
      <c r="D502" s="4" t="s">
        <v>32</v>
      </c>
      <c r="E502" s="4" t="s">
        <v>33</v>
      </c>
      <c r="F502" s="4" t="s">
        <v>724</v>
      </c>
      <c r="G502" s="4">
        <v>1</v>
      </c>
      <c r="H502" s="4">
        <v>390</v>
      </c>
      <c r="I502" s="4">
        <v>21723459</v>
      </c>
      <c r="J502" s="4">
        <v>48</v>
      </c>
      <c r="K502" s="4">
        <v>8.125</v>
      </c>
      <c r="L502" s="4">
        <v>452572.0625</v>
      </c>
      <c r="M502" s="4">
        <v>55701.176923076899</v>
      </c>
      <c r="N502" s="4" t="s">
        <v>68</v>
      </c>
      <c r="O502" s="4">
        <v>0.52158742307106798</v>
      </c>
      <c r="P502" s="4">
        <v>0.324000995034949</v>
      </c>
    </row>
    <row r="503" spans="1:16">
      <c r="A503" s="4" t="s">
        <v>1044</v>
      </c>
      <c r="B503" s="4" t="s">
        <v>30</v>
      </c>
      <c r="C503" s="4" t="s">
        <v>1045</v>
      </c>
      <c r="D503" s="4" t="s">
        <v>32</v>
      </c>
      <c r="E503" s="4" t="s">
        <v>33</v>
      </c>
      <c r="F503" s="4" t="s">
        <v>724</v>
      </c>
      <c r="G503" s="4">
        <v>1</v>
      </c>
      <c r="H503" s="4">
        <v>405</v>
      </c>
      <c r="I503" s="4">
        <v>21702505</v>
      </c>
      <c r="J503" s="4">
        <v>48</v>
      </c>
      <c r="K503" s="4">
        <v>8.4375</v>
      </c>
      <c r="L503" s="4">
        <v>452135.52083333302</v>
      </c>
      <c r="M503" s="4">
        <v>53586.432098765399</v>
      </c>
      <c r="N503" s="4" t="s">
        <v>35</v>
      </c>
      <c r="O503" s="4">
        <v>0.28068179226315099</v>
      </c>
      <c r="P503" s="4">
        <v>0.196431076434047</v>
      </c>
    </row>
    <row r="504" spans="1:16">
      <c r="A504" s="4" t="s">
        <v>1046</v>
      </c>
      <c r="B504" s="4" t="s">
        <v>30</v>
      </c>
      <c r="C504" s="4" t="s">
        <v>1047</v>
      </c>
      <c r="D504" s="4" t="s">
        <v>41</v>
      </c>
      <c r="E504" s="4" t="s">
        <v>50</v>
      </c>
      <c r="F504" s="4" t="s">
        <v>724</v>
      </c>
      <c r="G504" s="4">
        <v>1</v>
      </c>
      <c r="H504" s="4">
        <v>404</v>
      </c>
      <c r="I504" s="4">
        <v>21692895</v>
      </c>
      <c r="J504" s="4">
        <v>48</v>
      </c>
      <c r="K504" s="4">
        <v>8.4166666666666696</v>
      </c>
      <c r="L504" s="4">
        <v>451935.3125</v>
      </c>
      <c r="M504" s="4">
        <v>53695.2846534653</v>
      </c>
      <c r="N504" s="4" t="s">
        <v>68</v>
      </c>
      <c r="O504" s="4">
        <v>0.22785921381171101</v>
      </c>
      <c r="P504" s="4">
        <v>0.17739051178856599</v>
      </c>
    </row>
    <row r="505" spans="1:16">
      <c r="A505" s="4" t="s">
        <v>1048</v>
      </c>
      <c r="B505" s="4" t="s">
        <v>30</v>
      </c>
      <c r="C505" s="4" t="s">
        <v>1049</v>
      </c>
      <c r="D505" s="4" t="s">
        <v>32</v>
      </c>
      <c r="E505" s="4" t="s">
        <v>33</v>
      </c>
      <c r="F505" s="4" t="s">
        <v>724</v>
      </c>
      <c r="G505" s="4">
        <v>1</v>
      </c>
      <c r="H505" s="4">
        <v>393</v>
      </c>
      <c r="I505" s="4">
        <v>21646429.6834171</v>
      </c>
      <c r="J505" s="4">
        <v>48</v>
      </c>
      <c r="K505" s="4">
        <v>8.1875</v>
      </c>
      <c r="L505" s="4">
        <v>450967.28507118899</v>
      </c>
      <c r="M505" s="4">
        <v>55079.973749152901</v>
      </c>
      <c r="N505" s="4" t="s">
        <v>38</v>
      </c>
      <c r="O505" s="4">
        <v>0.24905685428332699</v>
      </c>
      <c r="P505" s="4">
        <v>0.189757961741713</v>
      </c>
    </row>
    <row r="506" spans="1:16">
      <c r="A506" s="4" t="s">
        <v>1050</v>
      </c>
      <c r="B506" s="4" t="s">
        <v>30</v>
      </c>
      <c r="C506" s="4" t="s">
        <v>1051</v>
      </c>
      <c r="D506" s="4" t="s">
        <v>41</v>
      </c>
      <c r="E506" s="4" t="s">
        <v>42</v>
      </c>
      <c r="F506" s="4" t="s">
        <v>724</v>
      </c>
      <c r="G506" s="4">
        <v>1</v>
      </c>
      <c r="H506" s="4">
        <v>378</v>
      </c>
      <c r="I506" s="4">
        <v>21622957</v>
      </c>
      <c r="J506" s="4">
        <v>48</v>
      </c>
      <c r="K506" s="4">
        <v>7.875</v>
      </c>
      <c r="L506" s="4">
        <v>450478.27083333302</v>
      </c>
      <c r="M506" s="4">
        <v>57203.589947089997</v>
      </c>
      <c r="N506" s="4" t="s">
        <v>35</v>
      </c>
      <c r="O506" s="4">
        <v>0.216839121494808</v>
      </c>
      <c r="P506" s="4">
        <v>0.17525851650569499</v>
      </c>
    </row>
    <row r="507" spans="1:16">
      <c r="A507" s="4" t="s">
        <v>1052</v>
      </c>
      <c r="B507" s="4" t="s">
        <v>30</v>
      </c>
      <c r="C507" s="4" t="s">
        <v>1053</v>
      </c>
      <c r="D507" s="4" t="s">
        <v>41</v>
      </c>
      <c r="E507" s="4" t="s">
        <v>42</v>
      </c>
      <c r="F507" s="4" t="s">
        <v>724</v>
      </c>
      <c r="G507" s="4">
        <v>1</v>
      </c>
      <c r="H507" s="4">
        <v>440</v>
      </c>
      <c r="I507" s="4">
        <v>21604758</v>
      </c>
      <c r="J507" s="4">
        <v>48</v>
      </c>
      <c r="K507" s="4">
        <v>9.1666666666666696</v>
      </c>
      <c r="L507" s="4">
        <v>450099.125</v>
      </c>
      <c r="M507" s="4">
        <v>49101.722727272703</v>
      </c>
      <c r="N507" s="4" t="s">
        <v>47</v>
      </c>
      <c r="O507" s="4">
        <v>0.29042426672865301</v>
      </c>
      <c r="P507" s="4">
        <v>0.21191807944695701</v>
      </c>
    </row>
    <row r="508" spans="1:16">
      <c r="A508" s="4" t="s">
        <v>1054</v>
      </c>
      <c r="B508" s="4" t="s">
        <v>30</v>
      </c>
      <c r="C508" s="4" t="s">
        <v>1055</v>
      </c>
      <c r="D508" s="4" t="s">
        <v>41</v>
      </c>
      <c r="E508" s="4" t="s">
        <v>42</v>
      </c>
      <c r="F508" s="4" t="s">
        <v>724</v>
      </c>
      <c r="G508" s="4">
        <v>1</v>
      </c>
      <c r="H508" s="4">
        <v>373</v>
      </c>
      <c r="I508" s="4">
        <v>21546337</v>
      </c>
      <c r="J508" s="4">
        <v>48</v>
      </c>
      <c r="K508" s="4">
        <v>7.7708333333333304</v>
      </c>
      <c r="L508" s="4">
        <v>448882.02083333302</v>
      </c>
      <c r="M508" s="4">
        <v>57764.978552278801</v>
      </c>
      <c r="N508" s="4" t="s">
        <v>68</v>
      </c>
      <c r="O508" s="4">
        <v>0.25046735322110703</v>
      </c>
      <c r="P508" s="4">
        <v>0.19003975774429599</v>
      </c>
    </row>
    <row r="509" spans="1:16">
      <c r="A509" s="4" t="s">
        <v>1056</v>
      </c>
      <c r="B509" s="4" t="s">
        <v>30</v>
      </c>
      <c r="C509" s="4" t="s">
        <v>1057</v>
      </c>
      <c r="D509" s="4" t="s">
        <v>41</v>
      </c>
      <c r="E509" s="4" t="s">
        <v>50</v>
      </c>
      <c r="F509" s="4" t="s">
        <v>724</v>
      </c>
      <c r="G509" s="4">
        <v>1</v>
      </c>
      <c r="H509" s="4">
        <v>371</v>
      </c>
      <c r="I509" s="4">
        <v>21523843</v>
      </c>
      <c r="J509" s="4">
        <v>48</v>
      </c>
      <c r="K509" s="4">
        <v>7.7291666666666696</v>
      </c>
      <c r="L509" s="4">
        <v>448413.39583333302</v>
      </c>
      <c r="M509" s="4">
        <v>58015.749326145597</v>
      </c>
      <c r="N509" s="4" t="s">
        <v>68</v>
      </c>
      <c r="O509" s="4">
        <v>0.259123893442263</v>
      </c>
      <c r="P509" s="4">
        <v>0.18410515383286699</v>
      </c>
    </row>
    <row r="510" spans="1:16">
      <c r="A510" s="4" t="s">
        <v>1058</v>
      </c>
      <c r="B510" s="4" t="s">
        <v>30</v>
      </c>
      <c r="C510" s="4" t="s">
        <v>1059</v>
      </c>
      <c r="D510" s="4" t="s">
        <v>32</v>
      </c>
      <c r="E510" s="4" t="s">
        <v>67</v>
      </c>
      <c r="F510" s="4" t="s">
        <v>724</v>
      </c>
      <c r="G510" s="4">
        <v>1</v>
      </c>
      <c r="H510" s="4">
        <v>358</v>
      </c>
      <c r="I510" s="4">
        <v>21522816</v>
      </c>
      <c r="J510" s="4">
        <v>48</v>
      </c>
      <c r="K510" s="4">
        <v>7.4583333333333304</v>
      </c>
      <c r="L510" s="4">
        <v>448392</v>
      </c>
      <c r="M510" s="4">
        <v>60119.597765363098</v>
      </c>
      <c r="N510" s="4" t="s">
        <v>38</v>
      </c>
      <c r="O510" s="4">
        <v>0.26490892269859101</v>
      </c>
      <c r="P510" s="4">
        <v>0.20911241682360299</v>
      </c>
    </row>
    <row r="511" spans="1:16">
      <c r="A511" s="4" t="s">
        <v>1060</v>
      </c>
      <c r="B511" s="4" t="s">
        <v>30</v>
      </c>
      <c r="C511" s="4" t="s">
        <v>1061</v>
      </c>
      <c r="D511" s="4" t="s">
        <v>41</v>
      </c>
      <c r="E511" s="4" t="s">
        <v>50</v>
      </c>
      <c r="F511" s="4" t="s">
        <v>724</v>
      </c>
      <c r="G511" s="4">
        <v>1</v>
      </c>
      <c r="H511" s="4">
        <v>390</v>
      </c>
      <c r="I511" s="4">
        <v>21508807</v>
      </c>
      <c r="J511" s="4">
        <v>48</v>
      </c>
      <c r="K511" s="4">
        <v>8.125</v>
      </c>
      <c r="L511" s="4">
        <v>448100.14583333302</v>
      </c>
      <c r="M511" s="4">
        <v>55150.787179487197</v>
      </c>
      <c r="N511" s="4" t="s">
        <v>51</v>
      </c>
      <c r="O511" s="4">
        <v>0.34349436488969398</v>
      </c>
      <c r="P511" s="4">
        <v>0.221314787134854</v>
      </c>
    </row>
    <row r="512" spans="1:16">
      <c r="A512" s="4" t="s">
        <v>1062</v>
      </c>
      <c r="B512" s="4" t="s">
        <v>30</v>
      </c>
      <c r="C512" s="4" t="s">
        <v>1063</v>
      </c>
      <c r="D512" s="4" t="s">
        <v>32</v>
      </c>
      <c r="E512" s="4" t="s">
        <v>33</v>
      </c>
      <c r="F512" s="4" t="s">
        <v>724</v>
      </c>
      <c r="G512" s="4">
        <v>1</v>
      </c>
      <c r="H512" s="4">
        <v>372</v>
      </c>
      <c r="I512" s="4">
        <v>21430428</v>
      </c>
      <c r="J512" s="4">
        <v>48</v>
      </c>
      <c r="K512" s="4">
        <v>7.75</v>
      </c>
      <c r="L512" s="4">
        <v>446467.25</v>
      </c>
      <c r="M512" s="4">
        <v>57608.677419354797</v>
      </c>
      <c r="N512" s="4" t="s">
        <v>54</v>
      </c>
      <c r="O512" s="4">
        <v>0.56321082341425899</v>
      </c>
      <c r="P512" s="4">
        <v>0.36241045645012998</v>
      </c>
    </row>
    <row r="513" spans="1:16">
      <c r="A513" s="4" t="s">
        <v>1064</v>
      </c>
      <c r="B513" s="4" t="s">
        <v>30</v>
      </c>
      <c r="C513" s="4" t="s">
        <v>1065</v>
      </c>
      <c r="D513" s="4" t="s">
        <v>41</v>
      </c>
      <c r="E513" s="4" t="s">
        <v>50</v>
      </c>
      <c r="F513" s="4" t="s">
        <v>724</v>
      </c>
      <c r="G513" s="4">
        <v>1</v>
      </c>
      <c r="H513" s="4">
        <v>412</v>
      </c>
      <c r="I513" s="4">
        <v>21344191</v>
      </c>
      <c r="J513" s="4">
        <v>48</v>
      </c>
      <c r="K513" s="4">
        <v>8.5833333333333304</v>
      </c>
      <c r="L513" s="4">
        <v>444670.64583333302</v>
      </c>
      <c r="M513" s="4">
        <v>51806.288834951498</v>
      </c>
      <c r="N513" s="4" t="s">
        <v>47</v>
      </c>
      <c r="O513" s="4">
        <v>0.473686400201348</v>
      </c>
      <c r="P513" s="4">
        <v>0.29161581247822099</v>
      </c>
    </row>
    <row r="514" spans="1:16">
      <c r="A514" s="4" t="s">
        <v>1066</v>
      </c>
      <c r="B514" s="4" t="s">
        <v>30</v>
      </c>
      <c r="C514" s="4" t="s">
        <v>1067</v>
      </c>
      <c r="D514" s="4" t="s">
        <v>32</v>
      </c>
      <c r="E514" s="4" t="s">
        <v>33</v>
      </c>
      <c r="F514" s="4" t="s">
        <v>724</v>
      </c>
      <c r="G514" s="4">
        <v>1</v>
      </c>
      <c r="H514" s="4">
        <v>392</v>
      </c>
      <c r="I514" s="4">
        <v>21323000</v>
      </c>
      <c r="J514" s="4">
        <v>48</v>
      </c>
      <c r="K514" s="4">
        <v>8.1666666666666696</v>
      </c>
      <c r="L514" s="4">
        <v>444229.16666666698</v>
      </c>
      <c r="M514" s="4">
        <v>54395.408163265303</v>
      </c>
      <c r="N514" s="4" t="s">
        <v>68</v>
      </c>
      <c r="O514" s="4">
        <v>0.31305172818083798</v>
      </c>
      <c r="P514" s="4">
        <v>0.22140261115851301</v>
      </c>
    </row>
    <row r="515" spans="1:16">
      <c r="A515" s="4" t="s">
        <v>1068</v>
      </c>
      <c r="B515" s="4" t="s">
        <v>30</v>
      </c>
      <c r="C515" s="4" t="s">
        <v>1069</v>
      </c>
      <c r="D515" s="4" t="s">
        <v>41</v>
      </c>
      <c r="E515" s="4" t="s">
        <v>42</v>
      </c>
      <c r="F515" s="4" t="s">
        <v>724</v>
      </c>
      <c r="G515" s="4">
        <v>1</v>
      </c>
      <c r="H515" s="4">
        <v>361</v>
      </c>
      <c r="I515" s="4">
        <v>21319134</v>
      </c>
      <c r="J515" s="4">
        <v>48</v>
      </c>
      <c r="K515" s="4">
        <v>7.5208333333333304</v>
      </c>
      <c r="L515" s="4">
        <v>444148.625</v>
      </c>
      <c r="M515" s="4">
        <v>59055.772853185597</v>
      </c>
      <c r="N515" s="4" t="s">
        <v>47</v>
      </c>
      <c r="O515" s="4">
        <v>0.24293697858459001</v>
      </c>
      <c r="P515" s="4">
        <v>0.17711469740719801</v>
      </c>
    </row>
    <row r="516" spans="1:16">
      <c r="A516" s="4" t="s">
        <v>1070</v>
      </c>
      <c r="B516" s="4" t="s">
        <v>30</v>
      </c>
      <c r="C516" s="4" t="s">
        <v>1071</v>
      </c>
      <c r="D516" s="4" t="s">
        <v>41</v>
      </c>
      <c r="E516" s="4" t="s">
        <v>50</v>
      </c>
      <c r="F516" s="4" t="s">
        <v>724</v>
      </c>
      <c r="G516" s="4">
        <v>1</v>
      </c>
      <c r="H516" s="4">
        <v>409</v>
      </c>
      <c r="I516" s="4">
        <v>21305652</v>
      </c>
      <c r="J516" s="4">
        <v>48</v>
      </c>
      <c r="K516" s="4">
        <v>8.5208333333333304</v>
      </c>
      <c r="L516" s="4">
        <v>443867.75</v>
      </c>
      <c r="M516" s="4">
        <v>52092.058679706599</v>
      </c>
      <c r="N516" s="4" t="s">
        <v>54</v>
      </c>
      <c r="O516" s="4">
        <v>0.36018808530243501</v>
      </c>
      <c r="P516" s="4">
        <v>0.21581407423353099</v>
      </c>
    </row>
    <row r="517" spans="1:16">
      <c r="A517" s="4" t="s">
        <v>1072</v>
      </c>
      <c r="B517" s="4" t="s">
        <v>30</v>
      </c>
      <c r="C517" s="4" t="s">
        <v>1073</v>
      </c>
      <c r="D517" s="4" t="s">
        <v>32</v>
      </c>
      <c r="E517" s="4" t="s">
        <v>67</v>
      </c>
      <c r="F517" s="4" t="s">
        <v>724</v>
      </c>
      <c r="G517" s="4">
        <v>1</v>
      </c>
      <c r="H517" s="4">
        <v>404</v>
      </c>
      <c r="I517" s="4">
        <v>21289048</v>
      </c>
      <c r="J517" s="4">
        <v>48</v>
      </c>
      <c r="K517" s="4">
        <v>8.4166666666666696</v>
      </c>
      <c r="L517" s="4">
        <v>443521.83333333302</v>
      </c>
      <c r="M517" s="4">
        <v>52695.663366336601</v>
      </c>
      <c r="N517" s="4" t="s">
        <v>35</v>
      </c>
      <c r="O517" s="4">
        <v>0.27866431603705299</v>
      </c>
      <c r="P517" s="4">
        <v>0.20899298009967501</v>
      </c>
    </row>
    <row r="518" spans="1:16">
      <c r="A518" s="4" t="s">
        <v>1074</v>
      </c>
      <c r="B518" s="4" t="s">
        <v>30</v>
      </c>
      <c r="C518" s="4" t="s">
        <v>1075</v>
      </c>
      <c r="D518" s="4" t="s">
        <v>41</v>
      </c>
      <c r="E518" s="4" t="s">
        <v>42</v>
      </c>
      <c r="F518" s="4" t="s">
        <v>724</v>
      </c>
      <c r="G518" s="4">
        <v>1</v>
      </c>
      <c r="H518" s="4">
        <v>401</v>
      </c>
      <c r="I518" s="4">
        <v>21255149</v>
      </c>
      <c r="J518" s="4">
        <v>48</v>
      </c>
      <c r="K518" s="4">
        <v>8.3541666666666696</v>
      </c>
      <c r="L518" s="4">
        <v>442815.60416666698</v>
      </c>
      <c r="M518" s="4">
        <v>53005.359102244402</v>
      </c>
      <c r="N518" s="4" t="s">
        <v>51</v>
      </c>
      <c r="O518" s="4">
        <v>0.37842764593181599</v>
      </c>
      <c r="P518" s="4">
        <v>0.23017954531064799</v>
      </c>
    </row>
    <row r="519" spans="1:16">
      <c r="A519" s="4" t="s">
        <v>1076</v>
      </c>
      <c r="B519" s="4" t="s">
        <v>30</v>
      </c>
      <c r="C519" s="4" t="s">
        <v>1077</v>
      </c>
      <c r="D519" s="4" t="s">
        <v>32</v>
      </c>
      <c r="E519" s="4" t="s">
        <v>33</v>
      </c>
      <c r="F519" s="4" t="s">
        <v>724</v>
      </c>
      <c r="G519" s="4">
        <v>1</v>
      </c>
      <c r="H519" s="4">
        <v>354</v>
      </c>
      <c r="I519" s="4">
        <v>21247656</v>
      </c>
      <c r="J519" s="4">
        <v>48</v>
      </c>
      <c r="K519" s="4">
        <v>7.375</v>
      </c>
      <c r="L519" s="4">
        <v>442659.5</v>
      </c>
      <c r="M519" s="4">
        <v>60021.627118644101</v>
      </c>
      <c r="N519" s="4" t="s">
        <v>51</v>
      </c>
      <c r="O519" s="4">
        <v>0.286659808498406</v>
      </c>
      <c r="P519" s="4">
        <v>0.18967293240535099</v>
      </c>
    </row>
    <row r="520" spans="1:16">
      <c r="A520" s="4" t="s">
        <v>1078</v>
      </c>
      <c r="B520" s="4" t="s">
        <v>30</v>
      </c>
      <c r="C520" s="4" t="s">
        <v>1079</v>
      </c>
      <c r="D520" s="4" t="s">
        <v>32</v>
      </c>
      <c r="E520" s="4" t="s">
        <v>33</v>
      </c>
      <c r="F520" s="4" t="s">
        <v>724</v>
      </c>
      <c r="G520" s="4">
        <v>1</v>
      </c>
      <c r="H520" s="4">
        <v>406</v>
      </c>
      <c r="I520" s="4">
        <v>21231109</v>
      </c>
      <c r="J520" s="4">
        <v>48</v>
      </c>
      <c r="K520" s="4">
        <v>8.4583333333333304</v>
      </c>
      <c r="L520" s="4">
        <v>442314.77083333302</v>
      </c>
      <c r="M520" s="4">
        <v>52293.371921182297</v>
      </c>
      <c r="N520" s="4" t="s">
        <v>54</v>
      </c>
      <c r="O520" s="4">
        <v>0.22207370326251</v>
      </c>
      <c r="P520" s="4">
        <v>0.17738419629938401</v>
      </c>
    </row>
    <row r="521" spans="1:16">
      <c r="A521" s="4" t="s">
        <v>1080</v>
      </c>
      <c r="B521" s="4" t="s">
        <v>30</v>
      </c>
      <c r="C521" s="4" t="s">
        <v>1081</v>
      </c>
      <c r="D521" s="4" t="s">
        <v>32</v>
      </c>
      <c r="E521" s="4" t="s">
        <v>33</v>
      </c>
      <c r="F521" s="4" t="s">
        <v>724</v>
      </c>
      <c r="G521" s="4">
        <v>1</v>
      </c>
      <c r="H521" s="4">
        <v>398</v>
      </c>
      <c r="I521" s="4">
        <v>21229550.2441472</v>
      </c>
      <c r="J521" s="4">
        <v>48</v>
      </c>
      <c r="K521" s="4">
        <v>8.2916666666666696</v>
      </c>
      <c r="L521" s="4">
        <v>442282.29675306601</v>
      </c>
      <c r="M521" s="4">
        <v>53340.578502882301</v>
      </c>
      <c r="N521" s="4" t="s">
        <v>51</v>
      </c>
      <c r="O521" s="4">
        <v>0.40325795419807398</v>
      </c>
      <c r="P521" s="4">
        <v>0.25114858059029599</v>
      </c>
    </row>
    <row r="522" spans="1:16">
      <c r="A522" s="4" t="s">
        <v>1082</v>
      </c>
      <c r="B522" s="4" t="s">
        <v>30</v>
      </c>
      <c r="C522" s="4" t="s">
        <v>1083</v>
      </c>
      <c r="D522" s="4" t="s">
        <v>32</v>
      </c>
      <c r="E522" s="4" t="s">
        <v>67</v>
      </c>
      <c r="F522" s="4" t="s">
        <v>724</v>
      </c>
      <c r="G522" s="4">
        <v>1</v>
      </c>
      <c r="H522" s="4">
        <v>420</v>
      </c>
      <c r="I522" s="4">
        <v>21219227.306692299</v>
      </c>
      <c r="J522" s="4">
        <v>48</v>
      </c>
      <c r="K522" s="4">
        <v>8.75</v>
      </c>
      <c r="L522" s="4">
        <v>442067.23555609101</v>
      </c>
      <c r="M522" s="4">
        <v>50521.969777838902</v>
      </c>
      <c r="N522" s="4" t="s">
        <v>35</v>
      </c>
      <c r="O522" s="4">
        <v>0.31312704765193999</v>
      </c>
      <c r="P522" s="4">
        <v>0.20061166882119699</v>
      </c>
    </row>
    <row r="523" spans="1:16">
      <c r="A523" s="4" t="s">
        <v>1084</v>
      </c>
      <c r="B523" s="4" t="s">
        <v>30</v>
      </c>
      <c r="C523" s="4" t="s">
        <v>1085</v>
      </c>
      <c r="D523" s="4" t="s">
        <v>41</v>
      </c>
      <c r="E523" s="4" t="s">
        <v>50</v>
      </c>
      <c r="F523" s="4" t="s">
        <v>724</v>
      </c>
      <c r="G523" s="4">
        <v>1</v>
      </c>
      <c r="H523" s="4">
        <v>402</v>
      </c>
      <c r="I523" s="4">
        <v>21145446</v>
      </c>
      <c r="J523" s="4">
        <v>48</v>
      </c>
      <c r="K523" s="4">
        <v>8.375</v>
      </c>
      <c r="L523" s="4">
        <v>440530.125</v>
      </c>
      <c r="M523" s="4">
        <v>52600.611940298499</v>
      </c>
      <c r="N523" s="4" t="s">
        <v>51</v>
      </c>
      <c r="O523" s="4">
        <v>0.24937402597230601</v>
      </c>
      <c r="P523" s="4">
        <v>0.183083244982465</v>
      </c>
    </row>
    <row r="524" spans="1:16">
      <c r="A524" s="4" t="s">
        <v>1086</v>
      </c>
      <c r="B524" s="4" t="s">
        <v>30</v>
      </c>
      <c r="C524" s="4" t="s">
        <v>1087</v>
      </c>
      <c r="D524" s="4" t="s">
        <v>32</v>
      </c>
      <c r="E524" s="4" t="s">
        <v>67</v>
      </c>
      <c r="F524" s="4" t="s">
        <v>724</v>
      </c>
      <c r="G524" s="4">
        <v>1</v>
      </c>
      <c r="H524" s="4">
        <v>369</v>
      </c>
      <c r="I524" s="4">
        <v>21140465.6582915</v>
      </c>
      <c r="J524" s="4">
        <v>48</v>
      </c>
      <c r="K524" s="4">
        <v>7.6875</v>
      </c>
      <c r="L524" s="4">
        <v>440426.36788107199</v>
      </c>
      <c r="M524" s="4">
        <v>57291.234846318301</v>
      </c>
      <c r="N524" s="4" t="s">
        <v>54</v>
      </c>
      <c r="O524" s="4">
        <v>0.25559597822201902</v>
      </c>
      <c r="P524" s="4">
        <v>0.20243983892074599</v>
      </c>
    </row>
    <row r="525" spans="1:16">
      <c r="A525" s="4" t="s">
        <v>1088</v>
      </c>
      <c r="B525" s="4" t="s">
        <v>30</v>
      </c>
      <c r="C525" s="4" t="s">
        <v>1089</v>
      </c>
      <c r="D525" s="4" t="s">
        <v>41</v>
      </c>
      <c r="E525" s="4" t="s">
        <v>50</v>
      </c>
      <c r="F525" s="4" t="s">
        <v>724</v>
      </c>
      <c r="G525" s="4">
        <v>1</v>
      </c>
      <c r="H525" s="4">
        <v>409</v>
      </c>
      <c r="I525" s="4">
        <v>21130726</v>
      </c>
      <c r="J525" s="4">
        <v>48</v>
      </c>
      <c r="K525" s="4">
        <v>8.5208333333333304</v>
      </c>
      <c r="L525" s="4">
        <v>440223.45833333302</v>
      </c>
      <c r="M525" s="4">
        <v>51664.3667481663</v>
      </c>
      <c r="N525" s="4" t="s">
        <v>38</v>
      </c>
      <c r="O525" s="4">
        <v>0.21254281561362401</v>
      </c>
      <c r="P525" s="4">
        <v>0.177782106864804</v>
      </c>
    </row>
    <row r="526" spans="1:16">
      <c r="A526" s="4" t="s">
        <v>1090</v>
      </c>
      <c r="B526" s="4" t="s">
        <v>30</v>
      </c>
      <c r="C526" s="4" t="s">
        <v>1091</v>
      </c>
      <c r="D526" s="4" t="s">
        <v>32</v>
      </c>
      <c r="E526" s="4" t="s">
        <v>67</v>
      </c>
      <c r="F526" s="4" t="s">
        <v>724</v>
      </c>
      <c r="G526" s="4">
        <v>1</v>
      </c>
      <c r="H526" s="4">
        <v>413</v>
      </c>
      <c r="I526" s="4">
        <v>20993338</v>
      </c>
      <c r="J526" s="4">
        <v>48</v>
      </c>
      <c r="K526" s="4">
        <v>8.6041666666666696</v>
      </c>
      <c r="L526" s="4">
        <v>437361.20833333302</v>
      </c>
      <c r="M526" s="4">
        <v>50831.326876513303</v>
      </c>
      <c r="N526" s="4" t="s">
        <v>54</v>
      </c>
      <c r="O526" s="4">
        <v>0.31900048482047</v>
      </c>
      <c r="P526" s="4">
        <v>0.20597431598434801</v>
      </c>
    </row>
    <row r="527" spans="1:16">
      <c r="A527" s="4" t="s">
        <v>1092</v>
      </c>
      <c r="B527" s="4" t="s">
        <v>30</v>
      </c>
      <c r="C527" s="4" t="s">
        <v>1093</v>
      </c>
      <c r="D527" s="4" t="s">
        <v>41</v>
      </c>
      <c r="E527" s="4" t="s">
        <v>50</v>
      </c>
      <c r="F527" s="4" t="s">
        <v>724</v>
      </c>
      <c r="G527" s="4">
        <v>1</v>
      </c>
      <c r="H527" s="4">
        <v>409</v>
      </c>
      <c r="I527" s="4">
        <v>20974624</v>
      </c>
      <c r="J527" s="4">
        <v>48</v>
      </c>
      <c r="K527" s="4">
        <v>8.5208333333333304</v>
      </c>
      <c r="L527" s="4">
        <v>436971.33333333302</v>
      </c>
      <c r="M527" s="4">
        <v>51282.699266503703</v>
      </c>
      <c r="N527" s="4" t="s">
        <v>68</v>
      </c>
      <c r="O527" s="4">
        <v>0.29721805740117202</v>
      </c>
      <c r="P527" s="4">
        <v>0.20125084333694099</v>
      </c>
    </row>
    <row r="528" spans="1:16">
      <c r="A528" s="4" t="s">
        <v>1094</v>
      </c>
      <c r="B528" s="4" t="s">
        <v>30</v>
      </c>
      <c r="C528" s="4" t="s">
        <v>1095</v>
      </c>
      <c r="D528" s="4" t="s">
        <v>32</v>
      </c>
      <c r="E528" s="4" t="s">
        <v>67</v>
      </c>
      <c r="F528" s="4" t="s">
        <v>724</v>
      </c>
      <c r="G528" s="4">
        <v>1</v>
      </c>
      <c r="H528" s="4">
        <v>369</v>
      </c>
      <c r="I528" s="4">
        <v>20964778</v>
      </c>
      <c r="J528" s="4">
        <v>48</v>
      </c>
      <c r="K528" s="4">
        <v>7.6875</v>
      </c>
      <c r="L528" s="4">
        <v>436766.20833333302</v>
      </c>
      <c r="M528" s="4">
        <v>56815.116531165302</v>
      </c>
      <c r="N528" s="4" t="s">
        <v>68</v>
      </c>
      <c r="O528" s="4">
        <v>0.456095456865797</v>
      </c>
      <c r="P528" s="4">
        <v>0.27120974693907701</v>
      </c>
    </row>
    <row r="529" spans="1:16">
      <c r="A529" s="4" t="s">
        <v>1096</v>
      </c>
      <c r="B529" s="4" t="s">
        <v>30</v>
      </c>
      <c r="C529" s="4" t="s">
        <v>1097</v>
      </c>
      <c r="D529" s="4" t="s">
        <v>32</v>
      </c>
      <c r="E529" s="4" t="s">
        <v>33</v>
      </c>
      <c r="F529" s="4" t="s">
        <v>724</v>
      </c>
      <c r="G529" s="4">
        <v>1</v>
      </c>
      <c r="H529" s="4">
        <v>415</v>
      </c>
      <c r="I529" s="4">
        <v>20926781</v>
      </c>
      <c r="J529" s="4">
        <v>48</v>
      </c>
      <c r="K529" s="4">
        <v>8.6458333333333304</v>
      </c>
      <c r="L529" s="4">
        <v>435974.60416666698</v>
      </c>
      <c r="M529" s="4">
        <v>50425.978313252999</v>
      </c>
      <c r="N529" s="4" t="s">
        <v>54</v>
      </c>
      <c r="O529" s="4">
        <v>0.27785085532266002</v>
      </c>
      <c r="P529" s="4">
        <v>0.183364294505583</v>
      </c>
    </row>
    <row r="530" spans="1:16">
      <c r="A530" s="4" t="s">
        <v>1098</v>
      </c>
      <c r="B530" s="4" t="s">
        <v>30</v>
      </c>
      <c r="C530" s="4" t="s">
        <v>1099</v>
      </c>
      <c r="D530" s="4" t="s">
        <v>41</v>
      </c>
      <c r="E530" s="4" t="s">
        <v>42</v>
      </c>
      <c r="F530" s="4" t="s">
        <v>724</v>
      </c>
      <c r="G530" s="4">
        <v>1</v>
      </c>
      <c r="H530" s="4">
        <v>366</v>
      </c>
      <c r="I530" s="4">
        <v>20906037</v>
      </c>
      <c r="J530" s="4">
        <v>48</v>
      </c>
      <c r="K530" s="4">
        <v>7.625</v>
      </c>
      <c r="L530" s="4">
        <v>435542.4375</v>
      </c>
      <c r="M530" s="4">
        <v>57120.319672131198</v>
      </c>
      <c r="N530" s="4" t="s">
        <v>47</v>
      </c>
      <c r="O530" s="4">
        <v>0.26573644732380403</v>
      </c>
      <c r="P530" s="4">
        <v>0.19122540936704999</v>
      </c>
    </row>
    <row r="531" spans="1:16">
      <c r="A531" s="4" t="s">
        <v>1100</v>
      </c>
      <c r="B531" s="4" t="s">
        <v>30</v>
      </c>
      <c r="C531" s="4" t="s">
        <v>1101</v>
      </c>
      <c r="D531" s="4" t="s">
        <v>32</v>
      </c>
      <c r="E531" s="4" t="s">
        <v>67</v>
      </c>
      <c r="F531" s="4" t="s">
        <v>724</v>
      </c>
      <c r="G531" s="4">
        <v>1</v>
      </c>
      <c r="H531" s="4">
        <v>399</v>
      </c>
      <c r="I531" s="4">
        <v>20852469</v>
      </c>
      <c r="J531" s="4">
        <v>48</v>
      </c>
      <c r="K531" s="4">
        <v>8.3125</v>
      </c>
      <c r="L531" s="4">
        <v>434426.4375</v>
      </c>
      <c r="M531" s="4">
        <v>52261.827067669197</v>
      </c>
      <c r="N531" s="4" t="s">
        <v>68</v>
      </c>
      <c r="O531" s="4">
        <v>0.254376112488166</v>
      </c>
      <c r="P531" s="4">
        <v>0.19389310988714301</v>
      </c>
    </row>
    <row r="532" spans="1:16">
      <c r="A532" s="4" t="s">
        <v>1102</v>
      </c>
      <c r="B532" s="4" t="s">
        <v>30</v>
      </c>
      <c r="C532" s="4" t="s">
        <v>1103</v>
      </c>
      <c r="D532" s="4" t="s">
        <v>41</v>
      </c>
      <c r="E532" s="4" t="s">
        <v>42</v>
      </c>
      <c r="F532" s="4" t="s">
        <v>724</v>
      </c>
      <c r="G532" s="4">
        <v>1</v>
      </c>
      <c r="H532" s="4">
        <v>397</v>
      </c>
      <c r="I532" s="4">
        <v>20745807.3165829</v>
      </c>
      <c r="J532" s="4">
        <v>48</v>
      </c>
      <c r="K532" s="4">
        <v>8.2708333333333304</v>
      </c>
      <c r="L532" s="4">
        <v>432204.319095477</v>
      </c>
      <c r="M532" s="4">
        <v>52256.441603483399</v>
      </c>
      <c r="N532" s="4" t="s">
        <v>51</v>
      </c>
      <c r="O532" s="4">
        <v>0.31887475939753102</v>
      </c>
      <c r="P532" s="4">
        <v>0.19906910549621001</v>
      </c>
    </row>
    <row r="533" spans="1:16">
      <c r="A533" s="4" t="s">
        <v>1104</v>
      </c>
      <c r="B533" s="4" t="s">
        <v>30</v>
      </c>
      <c r="C533" s="4" t="s">
        <v>1105</v>
      </c>
      <c r="D533" s="4" t="s">
        <v>41</v>
      </c>
      <c r="E533" s="4" t="s">
        <v>42</v>
      </c>
      <c r="F533" s="4" t="s">
        <v>724</v>
      </c>
      <c r="G533" s="4">
        <v>1</v>
      </c>
      <c r="H533" s="4">
        <v>376</v>
      </c>
      <c r="I533" s="4">
        <v>20722227</v>
      </c>
      <c r="J533" s="4">
        <v>47</v>
      </c>
      <c r="K533" s="4">
        <v>8</v>
      </c>
      <c r="L533" s="4">
        <v>440898.44680851098</v>
      </c>
      <c r="M533" s="4">
        <v>55112.3058510638</v>
      </c>
      <c r="N533" s="4" t="s">
        <v>68</v>
      </c>
      <c r="O533" s="4">
        <v>0.32752348480691801</v>
      </c>
      <c r="P533" s="4">
        <v>0.218871689349872</v>
      </c>
    </row>
    <row r="534" spans="1:16">
      <c r="A534" s="4" t="s">
        <v>1106</v>
      </c>
      <c r="B534" s="4" t="s">
        <v>30</v>
      </c>
      <c r="C534" s="4" t="s">
        <v>1107</v>
      </c>
      <c r="D534" s="4" t="s">
        <v>41</v>
      </c>
      <c r="E534" s="4" t="s">
        <v>42</v>
      </c>
      <c r="F534" s="4" t="s">
        <v>724</v>
      </c>
      <c r="G534" s="4">
        <v>1</v>
      </c>
      <c r="H534" s="4">
        <v>419</v>
      </c>
      <c r="I534" s="4">
        <v>20701441</v>
      </c>
      <c r="J534" s="4">
        <v>48</v>
      </c>
      <c r="K534" s="4">
        <v>8.7291666666666696</v>
      </c>
      <c r="L534" s="4">
        <v>431280.02083333302</v>
      </c>
      <c r="M534" s="4">
        <v>49406.780429594299</v>
      </c>
      <c r="N534" s="4" t="s">
        <v>51</v>
      </c>
      <c r="O534" s="4">
        <v>0.27010771858828603</v>
      </c>
      <c r="P534" s="4">
        <v>0.19316434813914499</v>
      </c>
    </row>
    <row r="535" spans="1:16">
      <c r="A535" s="4" t="s">
        <v>1108</v>
      </c>
      <c r="B535" s="4" t="s">
        <v>30</v>
      </c>
      <c r="C535" s="4" t="s">
        <v>1109</v>
      </c>
      <c r="D535" s="4" t="s">
        <v>41</v>
      </c>
      <c r="E535" s="4" t="s">
        <v>42</v>
      </c>
      <c r="F535" s="4" t="s">
        <v>724</v>
      </c>
      <c r="G535" s="4">
        <v>1</v>
      </c>
      <c r="H535" s="4">
        <v>400</v>
      </c>
      <c r="I535" s="4">
        <v>20699395</v>
      </c>
      <c r="J535" s="4">
        <v>48</v>
      </c>
      <c r="K535" s="4">
        <v>8.3333333333333304</v>
      </c>
      <c r="L535" s="4">
        <v>431237.39583333302</v>
      </c>
      <c r="M535" s="4">
        <v>51748.487500000003</v>
      </c>
      <c r="N535" s="4" t="s">
        <v>35</v>
      </c>
      <c r="O535" s="4">
        <v>0.349354993225647</v>
      </c>
      <c r="P535" s="4">
        <v>0.244173889483361</v>
      </c>
    </row>
    <row r="536" spans="1:16">
      <c r="A536" s="4" t="s">
        <v>1110</v>
      </c>
      <c r="B536" s="4" t="s">
        <v>30</v>
      </c>
      <c r="C536" s="4" t="s">
        <v>1111</v>
      </c>
      <c r="D536" s="4" t="s">
        <v>41</v>
      </c>
      <c r="E536" s="4" t="s">
        <v>42</v>
      </c>
      <c r="F536" s="4" t="s">
        <v>724</v>
      </c>
      <c r="G536" s="4">
        <v>1</v>
      </c>
      <c r="H536" s="4">
        <v>399</v>
      </c>
      <c r="I536" s="4">
        <v>20697185</v>
      </c>
      <c r="J536" s="4">
        <v>48</v>
      </c>
      <c r="K536" s="4">
        <v>8.3125</v>
      </c>
      <c r="L536" s="4">
        <v>431191.35416666698</v>
      </c>
      <c r="M536" s="4">
        <v>51872.644110275702</v>
      </c>
      <c r="N536" s="4" t="s">
        <v>51</v>
      </c>
      <c r="O536" s="4">
        <v>0.22552646652189701</v>
      </c>
      <c r="P536" s="4">
        <v>0.17768664116782801</v>
      </c>
    </row>
    <row r="537" spans="1:16">
      <c r="A537" s="4" t="s">
        <v>1112</v>
      </c>
      <c r="B537" s="4" t="s">
        <v>30</v>
      </c>
      <c r="C537" s="4" t="s">
        <v>1113</v>
      </c>
      <c r="D537" s="4" t="s">
        <v>32</v>
      </c>
      <c r="E537" s="4" t="s">
        <v>67</v>
      </c>
      <c r="F537" s="4" t="s">
        <v>724</v>
      </c>
      <c r="G537" s="4">
        <v>1</v>
      </c>
      <c r="H537" s="4">
        <v>402</v>
      </c>
      <c r="I537" s="4">
        <v>20685879</v>
      </c>
      <c r="J537" s="4">
        <v>48</v>
      </c>
      <c r="K537" s="4">
        <v>8.375</v>
      </c>
      <c r="L537" s="4">
        <v>430955.8125</v>
      </c>
      <c r="M537" s="4">
        <v>51457.410447761198</v>
      </c>
      <c r="N537" s="4" t="s">
        <v>35</v>
      </c>
      <c r="O537" s="4">
        <v>0.36082140865273399</v>
      </c>
      <c r="P537" s="4">
        <v>0.21611238863034299</v>
      </c>
    </row>
    <row r="538" spans="1:16">
      <c r="A538" s="4" t="s">
        <v>1114</v>
      </c>
      <c r="B538" s="4" t="s">
        <v>30</v>
      </c>
      <c r="C538" s="4" t="s">
        <v>1115</v>
      </c>
      <c r="D538" s="4" t="s">
        <v>32</v>
      </c>
      <c r="E538" s="4" t="s">
        <v>33</v>
      </c>
      <c r="F538" s="4" t="s">
        <v>724</v>
      </c>
      <c r="G538" s="4">
        <v>1</v>
      </c>
      <c r="H538" s="4">
        <v>388</v>
      </c>
      <c r="I538" s="4">
        <v>20673989</v>
      </c>
      <c r="J538" s="4">
        <v>48</v>
      </c>
      <c r="K538" s="4">
        <v>8.0833333333333304</v>
      </c>
      <c r="L538" s="4">
        <v>430708.10416666698</v>
      </c>
      <c r="M538" s="4">
        <v>53283.476804123697</v>
      </c>
      <c r="N538" s="4" t="s">
        <v>68</v>
      </c>
      <c r="O538" s="4">
        <v>0.40894715577143798</v>
      </c>
      <c r="P538" s="4">
        <v>0.25399768713759202</v>
      </c>
    </row>
    <row r="539" spans="1:16">
      <c r="A539" s="4" t="s">
        <v>1116</v>
      </c>
      <c r="B539" s="4" t="s">
        <v>30</v>
      </c>
      <c r="C539" s="4" t="s">
        <v>1117</v>
      </c>
      <c r="D539" s="4" t="s">
        <v>32</v>
      </c>
      <c r="E539" s="4" t="s">
        <v>33</v>
      </c>
      <c r="F539" s="4" t="s">
        <v>724</v>
      </c>
      <c r="G539" s="4">
        <v>1</v>
      </c>
      <c r="H539" s="4">
        <v>393</v>
      </c>
      <c r="I539" s="4">
        <v>20640886</v>
      </c>
      <c r="J539" s="4">
        <v>48</v>
      </c>
      <c r="K539" s="4">
        <v>8.1875</v>
      </c>
      <c r="L539" s="4">
        <v>430018.45833333302</v>
      </c>
      <c r="M539" s="4">
        <v>52521.338422391898</v>
      </c>
      <c r="N539" s="4" t="s">
        <v>38</v>
      </c>
      <c r="O539" s="4">
        <v>0.36557282473242703</v>
      </c>
      <c r="P539" s="4">
        <v>0.220139426859466</v>
      </c>
    </row>
    <row r="540" spans="1:16">
      <c r="A540" s="4" t="s">
        <v>1118</v>
      </c>
      <c r="B540" s="4" t="s">
        <v>30</v>
      </c>
      <c r="C540" s="4" t="s">
        <v>1119</v>
      </c>
      <c r="D540" s="4" t="s">
        <v>41</v>
      </c>
      <c r="E540" s="4" t="s">
        <v>42</v>
      </c>
      <c r="F540" s="4" t="s">
        <v>724</v>
      </c>
      <c r="G540" s="4">
        <v>1</v>
      </c>
      <c r="H540" s="4">
        <v>390</v>
      </c>
      <c r="I540" s="4">
        <v>20622800</v>
      </c>
      <c r="J540" s="4">
        <v>47</v>
      </c>
      <c r="K540" s="4">
        <v>8.2978723404255295</v>
      </c>
      <c r="L540" s="4">
        <v>438782.978723404</v>
      </c>
      <c r="M540" s="4">
        <v>52878.974358974403</v>
      </c>
      <c r="N540" s="4" t="s">
        <v>51</v>
      </c>
      <c r="O540" s="4">
        <v>0.25885742964098002</v>
      </c>
      <c r="P540" s="4">
        <v>0.20891774951837</v>
      </c>
    </row>
    <row r="541" spans="1:16">
      <c r="A541" s="4" t="s">
        <v>1120</v>
      </c>
      <c r="B541" s="4" t="s">
        <v>30</v>
      </c>
      <c r="C541" s="4" t="s">
        <v>1121</v>
      </c>
      <c r="D541" s="4" t="s">
        <v>32</v>
      </c>
      <c r="E541" s="4" t="s">
        <v>67</v>
      </c>
      <c r="F541" s="4" t="s">
        <v>724</v>
      </c>
      <c r="G541" s="4">
        <v>1</v>
      </c>
      <c r="H541" s="4">
        <v>385</v>
      </c>
      <c r="I541" s="4">
        <v>20617497</v>
      </c>
      <c r="J541" s="4">
        <v>48</v>
      </c>
      <c r="K541" s="4">
        <v>8.0208333333333304</v>
      </c>
      <c r="L541" s="4">
        <v>429531.1875</v>
      </c>
      <c r="M541" s="4">
        <v>53551.940259740302</v>
      </c>
      <c r="N541" s="4" t="s">
        <v>51</v>
      </c>
      <c r="O541" s="4">
        <v>0.39650477456114103</v>
      </c>
      <c r="P541" s="4">
        <v>0.25810221235451702</v>
      </c>
    </row>
    <row r="542" spans="1:16">
      <c r="A542" s="4" t="s">
        <v>1122</v>
      </c>
      <c r="B542" s="4" t="s">
        <v>30</v>
      </c>
      <c r="C542" s="4" t="s">
        <v>1123</v>
      </c>
      <c r="D542" s="4" t="s">
        <v>41</v>
      </c>
      <c r="E542" s="4" t="s">
        <v>50</v>
      </c>
      <c r="F542" s="4" t="s">
        <v>724</v>
      </c>
      <c r="G542" s="4">
        <v>1</v>
      </c>
      <c r="H542" s="4">
        <v>400</v>
      </c>
      <c r="I542" s="4">
        <v>20610430</v>
      </c>
      <c r="J542" s="4">
        <v>48</v>
      </c>
      <c r="K542" s="4">
        <v>8.3333333333333304</v>
      </c>
      <c r="L542" s="4">
        <v>429383.95833333302</v>
      </c>
      <c r="M542" s="4">
        <v>51526.074999999997</v>
      </c>
      <c r="N542" s="4" t="s">
        <v>47</v>
      </c>
      <c r="O542" s="4">
        <v>0.35575293674125202</v>
      </c>
      <c r="P542" s="4">
        <v>0.230697762039868</v>
      </c>
    </row>
    <row r="543" spans="1:16">
      <c r="A543" s="4" t="s">
        <v>1124</v>
      </c>
      <c r="B543" s="4" t="s">
        <v>30</v>
      </c>
      <c r="C543" s="4" t="s">
        <v>1125</v>
      </c>
      <c r="D543" s="4" t="s">
        <v>41</v>
      </c>
      <c r="E543" s="4" t="s">
        <v>42</v>
      </c>
      <c r="F543" s="4" t="s">
        <v>724</v>
      </c>
      <c r="G543" s="4">
        <v>1</v>
      </c>
      <c r="H543" s="4">
        <v>401</v>
      </c>
      <c r="I543" s="4">
        <v>20542811</v>
      </c>
      <c r="J543" s="4">
        <v>48</v>
      </c>
      <c r="K543" s="4">
        <v>8.3541666666666696</v>
      </c>
      <c r="L543" s="4">
        <v>427975.22916666698</v>
      </c>
      <c r="M543" s="4">
        <v>51228.955112219497</v>
      </c>
      <c r="N543" s="4" t="s">
        <v>51</v>
      </c>
      <c r="O543" s="4">
        <v>0.26133492636426398</v>
      </c>
      <c r="P543" s="4">
        <v>0.18462227198627401</v>
      </c>
    </row>
    <row r="544" spans="1:16">
      <c r="A544" s="4" t="s">
        <v>1126</v>
      </c>
      <c r="B544" s="4" t="s">
        <v>30</v>
      </c>
      <c r="C544" s="4" t="s">
        <v>1127</v>
      </c>
      <c r="D544" s="4" t="s">
        <v>41</v>
      </c>
      <c r="E544" s="4" t="s">
        <v>42</v>
      </c>
      <c r="F544" s="4" t="s">
        <v>724</v>
      </c>
      <c r="G544" s="4">
        <v>1</v>
      </c>
      <c r="H544" s="4">
        <v>408</v>
      </c>
      <c r="I544" s="4">
        <v>20531534</v>
      </c>
      <c r="J544" s="4">
        <v>48</v>
      </c>
      <c r="K544" s="4">
        <v>8.5</v>
      </c>
      <c r="L544" s="4">
        <v>427740.29166666698</v>
      </c>
      <c r="M544" s="4">
        <v>50322.387254902002</v>
      </c>
      <c r="N544" s="4" t="s">
        <v>51</v>
      </c>
      <c r="O544" s="4">
        <v>0.19058692838051</v>
      </c>
      <c r="P544" s="4">
        <v>0.171455719216627</v>
      </c>
    </row>
    <row r="545" spans="1:16">
      <c r="A545" s="4" t="s">
        <v>1128</v>
      </c>
      <c r="B545" s="4" t="s">
        <v>30</v>
      </c>
      <c r="C545" s="4" t="s">
        <v>1129</v>
      </c>
      <c r="D545" s="4" t="s">
        <v>41</v>
      </c>
      <c r="E545" s="4" t="s">
        <v>50</v>
      </c>
      <c r="F545" s="4" t="s">
        <v>724</v>
      </c>
      <c r="G545" s="4">
        <v>1</v>
      </c>
      <c r="H545" s="4">
        <v>399</v>
      </c>
      <c r="I545" s="4">
        <v>20511137</v>
      </c>
      <c r="J545" s="4">
        <v>48</v>
      </c>
      <c r="K545" s="4">
        <v>8.3125</v>
      </c>
      <c r="L545" s="4">
        <v>427315.35416666698</v>
      </c>
      <c r="M545" s="4">
        <v>51406.358395989999</v>
      </c>
      <c r="N545" s="4" t="s">
        <v>38</v>
      </c>
      <c r="O545" s="4">
        <v>0.50917469860398301</v>
      </c>
      <c r="P545" s="4">
        <v>0.31264828950100898</v>
      </c>
    </row>
    <row r="546" spans="1:16">
      <c r="A546" s="4" t="s">
        <v>1130</v>
      </c>
      <c r="B546" s="4" t="s">
        <v>30</v>
      </c>
      <c r="C546" s="4" t="s">
        <v>1131</v>
      </c>
      <c r="D546" s="4" t="s">
        <v>32</v>
      </c>
      <c r="E546" s="4" t="s">
        <v>67</v>
      </c>
      <c r="F546" s="4" t="s">
        <v>724</v>
      </c>
      <c r="G546" s="4">
        <v>1</v>
      </c>
      <c r="H546" s="4">
        <v>384</v>
      </c>
      <c r="I546" s="4">
        <v>20508727</v>
      </c>
      <c r="J546" s="4">
        <v>48</v>
      </c>
      <c r="K546" s="4">
        <v>8</v>
      </c>
      <c r="L546" s="4">
        <v>427265.14583333302</v>
      </c>
      <c r="M546" s="4">
        <v>53408.143229166701</v>
      </c>
      <c r="N546" s="4" t="s">
        <v>35</v>
      </c>
      <c r="O546" s="4">
        <v>0.27393635889736101</v>
      </c>
      <c r="P546" s="4">
        <v>0.19002266092051601</v>
      </c>
    </row>
    <row r="547" spans="1:16">
      <c r="A547" s="4" t="s">
        <v>1132</v>
      </c>
      <c r="B547" s="4" t="s">
        <v>30</v>
      </c>
      <c r="C547" s="4" t="s">
        <v>1133</v>
      </c>
      <c r="D547" s="4" t="s">
        <v>32</v>
      </c>
      <c r="E547" s="4" t="s">
        <v>67</v>
      </c>
      <c r="F547" s="4" t="s">
        <v>724</v>
      </c>
      <c r="G547" s="4">
        <v>1</v>
      </c>
      <c r="H547" s="4">
        <v>392</v>
      </c>
      <c r="I547" s="4">
        <v>20459841</v>
      </c>
      <c r="J547" s="4">
        <v>48</v>
      </c>
      <c r="K547" s="4">
        <v>8.1666666666666696</v>
      </c>
      <c r="L547" s="4">
        <v>426246.6875</v>
      </c>
      <c r="M547" s="4">
        <v>52193.471938775503</v>
      </c>
      <c r="N547" s="4" t="s">
        <v>35</v>
      </c>
      <c r="O547" s="4">
        <v>0.233221704899857</v>
      </c>
      <c r="P547" s="4">
        <v>0.182253322356355</v>
      </c>
    </row>
    <row r="548" spans="1:16">
      <c r="A548" s="4" t="s">
        <v>1134</v>
      </c>
      <c r="B548" s="4" t="s">
        <v>30</v>
      </c>
      <c r="C548" s="4" t="s">
        <v>1135</v>
      </c>
      <c r="D548" s="4" t="s">
        <v>32</v>
      </c>
      <c r="E548" s="4" t="s">
        <v>33</v>
      </c>
      <c r="F548" s="4" t="s">
        <v>724</v>
      </c>
      <c r="G548" s="4">
        <v>1</v>
      </c>
      <c r="H548" s="4">
        <v>395</v>
      </c>
      <c r="I548" s="4">
        <v>20444291</v>
      </c>
      <c r="J548" s="4">
        <v>48</v>
      </c>
      <c r="K548" s="4">
        <v>8.2291666666666696</v>
      </c>
      <c r="L548" s="4">
        <v>425922.72916666698</v>
      </c>
      <c r="M548" s="4">
        <v>51757.698734177196</v>
      </c>
      <c r="N548" s="4" t="s">
        <v>35</v>
      </c>
      <c r="O548" s="4">
        <v>0.30798519743237901</v>
      </c>
      <c r="P548" s="4">
        <v>0.20390654300056599</v>
      </c>
    </row>
    <row r="549" spans="1:16">
      <c r="A549" s="4" t="s">
        <v>1136</v>
      </c>
      <c r="B549" s="4" t="s">
        <v>30</v>
      </c>
      <c r="C549" s="4" t="s">
        <v>1137</v>
      </c>
      <c r="D549" s="4" t="s">
        <v>32</v>
      </c>
      <c r="E549" s="4" t="s">
        <v>33</v>
      </c>
      <c r="F549" s="4" t="s">
        <v>724</v>
      </c>
      <c r="G549" s="4">
        <v>1</v>
      </c>
      <c r="H549" s="4">
        <v>389</v>
      </c>
      <c r="I549" s="4">
        <v>20436900.043478299</v>
      </c>
      <c r="J549" s="4">
        <v>48</v>
      </c>
      <c r="K549" s="4">
        <v>8.1041666666666696</v>
      </c>
      <c r="L549" s="4">
        <v>425768.750905797</v>
      </c>
      <c r="M549" s="4">
        <v>52537.018106627896</v>
      </c>
      <c r="N549" s="4" t="s">
        <v>54</v>
      </c>
      <c r="O549" s="4">
        <v>0.27909761205786199</v>
      </c>
      <c r="P549" s="4">
        <v>0.20155690862338199</v>
      </c>
    </row>
    <row r="550" spans="1:16">
      <c r="A550" s="4" t="s">
        <v>1138</v>
      </c>
      <c r="B550" s="4" t="s">
        <v>30</v>
      </c>
      <c r="C550" s="4" t="s">
        <v>1139</v>
      </c>
      <c r="D550" s="4" t="s">
        <v>41</v>
      </c>
      <c r="E550" s="4" t="s">
        <v>50</v>
      </c>
      <c r="F550" s="4" t="s">
        <v>724</v>
      </c>
      <c r="G550" s="4">
        <v>1</v>
      </c>
      <c r="H550" s="4">
        <v>431</v>
      </c>
      <c r="I550" s="4">
        <v>20255777</v>
      </c>
      <c r="J550" s="4">
        <v>48</v>
      </c>
      <c r="K550" s="4">
        <v>8.9791666666666696</v>
      </c>
      <c r="L550" s="4">
        <v>421995.35416666698</v>
      </c>
      <c r="M550" s="4">
        <v>46997.162412992999</v>
      </c>
      <c r="N550" s="4" t="s">
        <v>54</v>
      </c>
      <c r="O550" s="4">
        <v>0.25629814151291302</v>
      </c>
      <c r="P550" s="4">
        <v>0.20935238944239401</v>
      </c>
    </row>
    <row r="551" spans="1:16">
      <c r="A551" s="4" t="s">
        <v>1140</v>
      </c>
      <c r="B551" s="4" t="s">
        <v>30</v>
      </c>
      <c r="C551" s="4" t="s">
        <v>1141</v>
      </c>
      <c r="D551" s="4" t="s">
        <v>32</v>
      </c>
      <c r="E551" s="4" t="s">
        <v>67</v>
      </c>
      <c r="F551" s="4" t="s">
        <v>724</v>
      </c>
      <c r="G551" s="4">
        <v>1</v>
      </c>
      <c r="H551" s="4">
        <v>413</v>
      </c>
      <c r="I551" s="4">
        <v>20073196</v>
      </c>
      <c r="J551" s="4">
        <v>48</v>
      </c>
      <c r="K551" s="4">
        <v>8.6041666666666696</v>
      </c>
      <c r="L551" s="4">
        <v>418191.58333333302</v>
      </c>
      <c r="M551" s="4">
        <v>48603.380145278497</v>
      </c>
      <c r="N551" s="4" t="s">
        <v>51</v>
      </c>
      <c r="O551" s="4">
        <v>0.29394895561224998</v>
      </c>
      <c r="P551" s="4">
        <v>0.19400413894333601</v>
      </c>
    </row>
    <row r="552" spans="1:16">
      <c r="A552" s="4" t="s">
        <v>1142</v>
      </c>
      <c r="B552" s="4" t="s">
        <v>30</v>
      </c>
      <c r="C552" s="4" t="s">
        <v>1143</v>
      </c>
      <c r="D552" s="4" t="s">
        <v>32</v>
      </c>
      <c r="E552" s="4" t="s">
        <v>33</v>
      </c>
      <c r="F552" s="4" t="s">
        <v>724</v>
      </c>
      <c r="G552" s="4">
        <v>1</v>
      </c>
      <c r="H552" s="4">
        <v>417</v>
      </c>
      <c r="I552" s="4">
        <v>19855032</v>
      </c>
      <c r="J552" s="4">
        <v>48</v>
      </c>
      <c r="K552" s="4">
        <v>8.6875</v>
      </c>
      <c r="L552" s="4">
        <v>413646.5</v>
      </c>
      <c r="M552" s="4">
        <v>47613.985611510798</v>
      </c>
      <c r="N552" s="4" t="s">
        <v>54</v>
      </c>
      <c r="O552" s="4">
        <v>0.32435490408678302</v>
      </c>
      <c r="P552" s="4">
        <v>0.22524753799338301</v>
      </c>
    </row>
    <row r="553" spans="1:16">
      <c r="A553" s="4" t="s">
        <v>1144</v>
      </c>
      <c r="B553" s="4" t="s">
        <v>1145</v>
      </c>
      <c r="C553" s="4" t="s">
        <v>1146</v>
      </c>
      <c r="D553" s="4" t="s">
        <v>41</v>
      </c>
      <c r="E553" s="4" t="s">
        <v>50</v>
      </c>
      <c r="F553" s="4" t="s">
        <v>1147</v>
      </c>
      <c r="G553" s="4">
        <v>25</v>
      </c>
      <c r="H553" s="4">
        <v>157</v>
      </c>
      <c r="I553" s="4">
        <v>3694840</v>
      </c>
      <c r="J553" s="4">
        <v>12</v>
      </c>
      <c r="K553" s="4">
        <v>13.0833333333333</v>
      </c>
      <c r="L553" s="4">
        <v>307903.33333333302</v>
      </c>
      <c r="M553" s="4">
        <v>23534.0127388535</v>
      </c>
      <c r="N553" s="4" t="s">
        <v>35</v>
      </c>
      <c r="O553" s="4">
        <v>0.45312977016596101</v>
      </c>
      <c r="P553" s="4">
        <v>0.29546551100802199</v>
      </c>
    </row>
    <row r="554" spans="1:16">
      <c r="A554" s="4" t="s">
        <v>1148</v>
      </c>
      <c r="B554" s="4" t="s">
        <v>1145</v>
      </c>
      <c r="C554" s="4" t="s">
        <v>1149</v>
      </c>
      <c r="D554" s="4" t="s">
        <v>32</v>
      </c>
      <c r="E554" s="4" t="s">
        <v>67</v>
      </c>
      <c r="F554" s="4" t="s">
        <v>1147</v>
      </c>
      <c r="G554" s="4">
        <v>25</v>
      </c>
      <c r="H554" s="4">
        <v>181</v>
      </c>
      <c r="I554" s="4">
        <v>3577304</v>
      </c>
      <c r="J554" s="4">
        <v>12</v>
      </c>
      <c r="K554" s="4">
        <v>15.0833333333333</v>
      </c>
      <c r="L554" s="4">
        <v>298108.66666666698</v>
      </c>
      <c r="M554" s="4">
        <v>19764.110497237602</v>
      </c>
      <c r="N554" s="4" t="s">
        <v>51</v>
      </c>
      <c r="O554" s="4">
        <v>0.38814984692382898</v>
      </c>
      <c r="P554" s="4">
        <v>0.234107411763669</v>
      </c>
    </row>
    <row r="555" spans="1:16">
      <c r="A555" s="4" t="s">
        <v>1150</v>
      </c>
      <c r="B555" s="4" t="s">
        <v>1145</v>
      </c>
      <c r="C555" s="4" t="s">
        <v>1151</v>
      </c>
      <c r="D555" s="4" t="s">
        <v>32</v>
      </c>
      <c r="E555" s="4" t="s">
        <v>67</v>
      </c>
      <c r="F555" s="4" t="s">
        <v>1147</v>
      </c>
      <c r="G555" s="4">
        <v>25</v>
      </c>
      <c r="H555" s="4">
        <v>175</v>
      </c>
      <c r="I555" s="4">
        <v>3454170</v>
      </c>
      <c r="J555" s="4">
        <v>12</v>
      </c>
      <c r="K555" s="4">
        <v>14.5833333333333</v>
      </c>
      <c r="L555" s="4">
        <v>287847.5</v>
      </c>
      <c r="M555" s="4">
        <v>19738.114285714299</v>
      </c>
      <c r="N555" s="4" t="s">
        <v>35</v>
      </c>
      <c r="O555" s="4">
        <v>0.27867273469458698</v>
      </c>
      <c r="P555" s="4">
        <v>0.23676658630571201</v>
      </c>
    </row>
    <row r="556" spans="1:16">
      <c r="A556" s="4" t="s">
        <v>1152</v>
      </c>
      <c r="B556" s="4" t="s">
        <v>1145</v>
      </c>
      <c r="C556" s="4" t="s">
        <v>1153</v>
      </c>
      <c r="D556" s="4" t="s">
        <v>41</v>
      </c>
      <c r="E556" s="4" t="s">
        <v>42</v>
      </c>
      <c r="F556" s="4" t="s">
        <v>1147</v>
      </c>
      <c r="G556" s="4">
        <v>25</v>
      </c>
      <c r="H556" s="4">
        <v>187</v>
      </c>
      <c r="I556" s="4">
        <v>3400026</v>
      </c>
      <c r="J556" s="4">
        <v>12</v>
      </c>
      <c r="K556" s="4">
        <v>15.5833333333333</v>
      </c>
      <c r="L556" s="4">
        <v>283335.5</v>
      </c>
      <c r="M556" s="4">
        <v>18181.957219251301</v>
      </c>
      <c r="N556" s="4" t="s">
        <v>38</v>
      </c>
      <c r="O556" s="4">
        <v>0.238354059645426</v>
      </c>
      <c r="P556" s="4">
        <v>0.17671173187875</v>
      </c>
    </row>
    <row r="557" spans="1:16">
      <c r="A557" s="4" t="s">
        <v>1154</v>
      </c>
      <c r="B557" s="4" t="s">
        <v>1145</v>
      </c>
      <c r="C557" s="4" t="s">
        <v>1155</v>
      </c>
      <c r="D557" s="4" t="s">
        <v>32</v>
      </c>
      <c r="E557" s="4" t="s">
        <v>33</v>
      </c>
      <c r="F557" s="4" t="s">
        <v>1147</v>
      </c>
      <c r="G557" s="4">
        <v>25</v>
      </c>
      <c r="H557" s="4">
        <v>178</v>
      </c>
      <c r="I557" s="4">
        <v>3343612</v>
      </c>
      <c r="J557" s="4">
        <v>12</v>
      </c>
      <c r="K557" s="4">
        <v>14.8333333333333</v>
      </c>
      <c r="L557" s="4">
        <v>278634.33333333302</v>
      </c>
      <c r="M557" s="4">
        <v>18784.337078651701</v>
      </c>
      <c r="N557" s="4" t="s">
        <v>47</v>
      </c>
      <c r="O557" s="4">
        <v>0.30262123715311501</v>
      </c>
      <c r="P557" s="4">
        <v>0.21137848929300301</v>
      </c>
    </row>
    <row r="558" spans="1:16">
      <c r="A558" s="4" t="s">
        <v>1156</v>
      </c>
      <c r="B558" s="4" t="s">
        <v>1145</v>
      </c>
      <c r="C558" s="4" t="s">
        <v>1157</v>
      </c>
      <c r="D558" s="4" t="s">
        <v>41</v>
      </c>
      <c r="E558" s="4" t="s">
        <v>50</v>
      </c>
      <c r="F558" s="4" t="s">
        <v>1147</v>
      </c>
      <c r="G558" s="4">
        <v>25</v>
      </c>
      <c r="H558" s="4">
        <v>188</v>
      </c>
      <c r="I558" s="4">
        <v>3338687</v>
      </c>
      <c r="J558" s="4">
        <v>12</v>
      </c>
      <c r="K558" s="4">
        <v>15.6666666666667</v>
      </c>
      <c r="L558" s="4">
        <v>278223.91666666698</v>
      </c>
      <c r="M558" s="4">
        <v>17758.973404255299</v>
      </c>
      <c r="N558" s="4" t="s">
        <v>35</v>
      </c>
      <c r="O558" s="4">
        <v>0.47111634004625202</v>
      </c>
      <c r="P558" s="4">
        <v>0.29410314294296602</v>
      </c>
    </row>
    <row r="559" spans="1:16">
      <c r="A559" s="4" t="s">
        <v>1158</v>
      </c>
      <c r="B559" s="4" t="s">
        <v>1145</v>
      </c>
      <c r="C559" s="4" t="s">
        <v>1159</v>
      </c>
      <c r="D559" s="4" t="s">
        <v>41</v>
      </c>
      <c r="E559" s="4" t="s">
        <v>42</v>
      </c>
      <c r="F559" s="4" t="s">
        <v>1147</v>
      </c>
      <c r="G559" s="4">
        <v>25</v>
      </c>
      <c r="H559" s="4">
        <v>199</v>
      </c>
      <c r="I559" s="4">
        <v>3329758</v>
      </c>
      <c r="J559" s="4">
        <v>12</v>
      </c>
      <c r="K559" s="4">
        <v>16.5833333333333</v>
      </c>
      <c r="L559" s="4">
        <v>277479.83333333302</v>
      </c>
      <c r="M559" s="4">
        <v>16732.452261306498</v>
      </c>
      <c r="N559" s="4" t="s">
        <v>54</v>
      </c>
      <c r="O559" s="4">
        <v>0.27038811829568399</v>
      </c>
      <c r="P559" s="4">
        <v>0.18967819136598499</v>
      </c>
    </row>
    <row r="560" spans="1:16">
      <c r="A560" s="4" t="s">
        <v>1160</v>
      </c>
      <c r="B560" s="4" t="s">
        <v>1145</v>
      </c>
      <c r="C560" s="4" t="s">
        <v>1161</v>
      </c>
      <c r="D560" s="4" t="s">
        <v>32</v>
      </c>
      <c r="E560" s="4" t="s">
        <v>67</v>
      </c>
      <c r="F560" s="4" t="s">
        <v>1147</v>
      </c>
      <c r="G560" s="4">
        <v>25</v>
      </c>
      <c r="H560" s="4">
        <v>202</v>
      </c>
      <c r="I560" s="4">
        <v>3264824</v>
      </c>
      <c r="J560" s="4">
        <v>12</v>
      </c>
      <c r="K560" s="4">
        <v>16.8333333333333</v>
      </c>
      <c r="L560" s="4">
        <v>272068.66666666698</v>
      </c>
      <c r="M560" s="4">
        <v>16162.495049505</v>
      </c>
      <c r="N560" s="4" t="s">
        <v>47</v>
      </c>
      <c r="O560" s="4">
        <v>0.290876322889075</v>
      </c>
      <c r="P560" s="4">
        <v>0.20425292037770201</v>
      </c>
    </row>
    <row r="561" spans="1:16">
      <c r="A561" s="4" t="s">
        <v>1162</v>
      </c>
      <c r="B561" s="4" t="s">
        <v>1145</v>
      </c>
      <c r="C561" s="4" t="s">
        <v>1163</v>
      </c>
      <c r="D561" s="4" t="s">
        <v>32</v>
      </c>
      <c r="E561" s="4" t="s">
        <v>67</v>
      </c>
      <c r="F561" s="4" t="s">
        <v>1147</v>
      </c>
      <c r="G561" s="4">
        <v>25</v>
      </c>
      <c r="H561" s="4">
        <v>191</v>
      </c>
      <c r="I561" s="4">
        <v>3231751</v>
      </c>
      <c r="J561" s="4">
        <v>12</v>
      </c>
      <c r="K561" s="4">
        <v>15.9166666666667</v>
      </c>
      <c r="L561" s="4">
        <v>269312.58333333302</v>
      </c>
      <c r="M561" s="4">
        <v>16920.1623036649</v>
      </c>
      <c r="N561" s="4" t="s">
        <v>68</v>
      </c>
      <c r="O561" s="4">
        <v>0.56317055367198798</v>
      </c>
      <c r="P561" s="4">
        <v>0.36317771044150998</v>
      </c>
    </row>
    <row r="562" spans="1:16">
      <c r="A562" s="4" t="s">
        <v>1164</v>
      </c>
      <c r="B562" s="4" t="s">
        <v>1145</v>
      </c>
      <c r="C562" s="4" t="s">
        <v>1165</v>
      </c>
      <c r="D562" s="4" t="s">
        <v>32</v>
      </c>
      <c r="E562" s="4" t="s">
        <v>67</v>
      </c>
      <c r="F562" s="4" t="s">
        <v>1147</v>
      </c>
      <c r="G562" s="4">
        <v>25</v>
      </c>
      <c r="H562" s="4">
        <v>189</v>
      </c>
      <c r="I562" s="4">
        <v>3230884</v>
      </c>
      <c r="J562" s="4">
        <v>12</v>
      </c>
      <c r="K562" s="4">
        <v>15.75</v>
      </c>
      <c r="L562" s="4">
        <v>269240.33333333302</v>
      </c>
      <c r="M562" s="4">
        <v>17094.6243386243</v>
      </c>
      <c r="N562" s="4" t="s">
        <v>54</v>
      </c>
      <c r="O562" s="4">
        <v>0.31632983418779498</v>
      </c>
      <c r="P562" s="4">
        <v>0.22013031840852701</v>
      </c>
    </row>
    <row r="563" spans="1:16">
      <c r="A563" s="4" t="s">
        <v>1166</v>
      </c>
      <c r="B563" s="4" t="s">
        <v>1145</v>
      </c>
      <c r="C563" s="4" t="s">
        <v>1167</v>
      </c>
      <c r="D563" s="4" t="s">
        <v>32</v>
      </c>
      <c r="E563" s="4" t="s">
        <v>33</v>
      </c>
      <c r="F563" s="4" t="s">
        <v>1147</v>
      </c>
      <c r="G563" s="4">
        <v>25</v>
      </c>
      <c r="H563" s="4">
        <v>189</v>
      </c>
      <c r="I563" s="4">
        <v>3226534</v>
      </c>
      <c r="J563" s="4">
        <v>12</v>
      </c>
      <c r="K563" s="4">
        <v>15.75</v>
      </c>
      <c r="L563" s="4">
        <v>268877.83333333302</v>
      </c>
      <c r="M563" s="4">
        <v>17071.6084656085</v>
      </c>
      <c r="N563" s="4" t="s">
        <v>47</v>
      </c>
      <c r="O563" s="4">
        <v>0.28245138591442098</v>
      </c>
      <c r="P563" s="4">
        <v>0.218461375837256</v>
      </c>
    </row>
    <row r="564" spans="1:16">
      <c r="A564" s="4" t="s">
        <v>1168</v>
      </c>
      <c r="B564" s="4" t="s">
        <v>1145</v>
      </c>
      <c r="C564" s="4" t="s">
        <v>1169</v>
      </c>
      <c r="D564" s="4" t="s">
        <v>41</v>
      </c>
      <c r="E564" s="4" t="s">
        <v>50</v>
      </c>
      <c r="F564" s="4" t="s">
        <v>1147</v>
      </c>
      <c r="G564" s="4">
        <v>25</v>
      </c>
      <c r="H564" s="4">
        <v>204</v>
      </c>
      <c r="I564" s="4">
        <v>3206856</v>
      </c>
      <c r="J564" s="4">
        <v>12</v>
      </c>
      <c r="K564" s="4">
        <v>17</v>
      </c>
      <c r="L564" s="4">
        <v>267238</v>
      </c>
      <c r="M564" s="4">
        <v>15719.8823529412</v>
      </c>
      <c r="N564" s="4" t="s">
        <v>68</v>
      </c>
      <c r="O564" s="4">
        <v>0.38433188144400598</v>
      </c>
      <c r="P564" s="4">
        <v>0.230964983199718</v>
      </c>
    </row>
    <row r="565" spans="1:16">
      <c r="A565" s="4" t="s">
        <v>1170</v>
      </c>
      <c r="B565" s="4" t="s">
        <v>1145</v>
      </c>
      <c r="C565" s="4" t="s">
        <v>1171</v>
      </c>
      <c r="D565" s="4" t="s">
        <v>32</v>
      </c>
      <c r="E565" s="4" t="s">
        <v>67</v>
      </c>
      <c r="F565" s="4" t="s">
        <v>1147</v>
      </c>
      <c r="G565" s="4">
        <v>25</v>
      </c>
      <c r="H565" s="4">
        <v>182</v>
      </c>
      <c r="I565" s="4">
        <v>3190339</v>
      </c>
      <c r="J565" s="4">
        <v>12</v>
      </c>
      <c r="K565" s="4">
        <v>15.1666666666667</v>
      </c>
      <c r="L565" s="4">
        <v>265861.58333333302</v>
      </c>
      <c r="M565" s="4">
        <v>17529.3351648352</v>
      </c>
      <c r="N565" s="4" t="s">
        <v>35</v>
      </c>
      <c r="O565" s="4">
        <v>0.41234834291904399</v>
      </c>
      <c r="P565" s="4">
        <v>0.26156116011456398</v>
      </c>
    </row>
    <row r="566" spans="1:16">
      <c r="A566" s="4" t="s">
        <v>1172</v>
      </c>
      <c r="B566" s="4" t="s">
        <v>1145</v>
      </c>
      <c r="C566" s="4" t="s">
        <v>1173</v>
      </c>
      <c r="D566" s="4" t="s">
        <v>41</v>
      </c>
      <c r="E566" s="4" t="s">
        <v>50</v>
      </c>
      <c r="F566" s="4" t="s">
        <v>1147</v>
      </c>
      <c r="G566" s="4">
        <v>25</v>
      </c>
      <c r="H566" s="4">
        <v>172</v>
      </c>
      <c r="I566" s="4">
        <v>3189603</v>
      </c>
      <c r="J566" s="4">
        <v>12</v>
      </c>
      <c r="K566" s="4">
        <v>14.3333333333333</v>
      </c>
      <c r="L566" s="4">
        <v>265800.25</v>
      </c>
      <c r="M566" s="4">
        <v>18544.203488372099</v>
      </c>
      <c r="N566" s="4" t="s">
        <v>54</v>
      </c>
      <c r="O566" s="4">
        <v>0.52367050068613596</v>
      </c>
      <c r="P566" s="4">
        <v>0.32641106924327801</v>
      </c>
    </row>
    <row r="567" spans="1:16">
      <c r="A567" s="4" t="s">
        <v>1174</v>
      </c>
      <c r="B567" s="4" t="s">
        <v>1145</v>
      </c>
      <c r="C567" s="4" t="s">
        <v>1175</v>
      </c>
      <c r="D567" s="4" t="s">
        <v>41</v>
      </c>
      <c r="E567" s="4" t="s">
        <v>50</v>
      </c>
      <c r="F567" s="4" t="s">
        <v>1147</v>
      </c>
      <c r="G567" s="4">
        <v>25</v>
      </c>
      <c r="H567" s="4">
        <v>198</v>
      </c>
      <c r="I567" s="4">
        <v>3183228</v>
      </c>
      <c r="J567" s="4">
        <v>12</v>
      </c>
      <c r="K567" s="4">
        <v>16.5</v>
      </c>
      <c r="L567" s="4">
        <v>265269</v>
      </c>
      <c r="M567" s="4">
        <v>16076.909090909099</v>
      </c>
      <c r="N567" s="4" t="s">
        <v>47</v>
      </c>
      <c r="O567" s="4">
        <v>0.24448075978220901</v>
      </c>
      <c r="P567" s="4">
        <v>0.18838737909839801</v>
      </c>
    </row>
    <row r="568" spans="1:16">
      <c r="A568" s="4" t="s">
        <v>1176</v>
      </c>
      <c r="B568" s="4" t="s">
        <v>1145</v>
      </c>
      <c r="C568" s="4" t="s">
        <v>1177</v>
      </c>
      <c r="D568" s="4" t="s">
        <v>41</v>
      </c>
      <c r="E568" s="4" t="s">
        <v>42</v>
      </c>
      <c r="F568" s="4" t="s">
        <v>1147</v>
      </c>
      <c r="G568" s="4">
        <v>25</v>
      </c>
      <c r="H568" s="4">
        <v>204</v>
      </c>
      <c r="I568" s="4">
        <v>3182287</v>
      </c>
      <c r="J568" s="4">
        <v>12</v>
      </c>
      <c r="K568" s="4">
        <v>17</v>
      </c>
      <c r="L568" s="4">
        <v>265190.58333333302</v>
      </c>
      <c r="M568" s="4">
        <v>15599.4460784314</v>
      </c>
      <c r="N568" s="4" t="s">
        <v>51</v>
      </c>
      <c r="O568" s="4">
        <v>0.28481937675640201</v>
      </c>
      <c r="P568" s="4">
        <v>0.20741299210535399</v>
      </c>
    </row>
    <row r="569" spans="1:16">
      <c r="A569" s="4" t="s">
        <v>1178</v>
      </c>
      <c r="B569" s="4" t="s">
        <v>1145</v>
      </c>
      <c r="C569" s="4" t="s">
        <v>1179</v>
      </c>
      <c r="D569" s="4" t="s">
        <v>32</v>
      </c>
      <c r="E569" s="4" t="s">
        <v>33</v>
      </c>
      <c r="F569" s="4" t="s">
        <v>1147</v>
      </c>
      <c r="G569" s="4">
        <v>25</v>
      </c>
      <c r="H569" s="4">
        <v>203</v>
      </c>
      <c r="I569" s="4">
        <v>3168766</v>
      </c>
      <c r="J569" s="4">
        <v>12</v>
      </c>
      <c r="K569" s="4">
        <v>16.9166666666667</v>
      </c>
      <c r="L569" s="4">
        <v>264063.83333333302</v>
      </c>
      <c r="M569" s="4">
        <v>15609.684729064</v>
      </c>
      <c r="N569" s="4" t="s">
        <v>47</v>
      </c>
      <c r="O569" s="4">
        <v>0.27140407338377198</v>
      </c>
      <c r="P569" s="4">
        <v>0.20002230777090199</v>
      </c>
    </row>
    <row r="570" spans="1:16">
      <c r="A570" s="4" t="s">
        <v>1180</v>
      </c>
      <c r="B570" s="4" t="s">
        <v>1145</v>
      </c>
      <c r="C570" s="4" t="s">
        <v>1181</v>
      </c>
      <c r="D570" s="4" t="s">
        <v>32</v>
      </c>
      <c r="E570" s="4" t="s">
        <v>67</v>
      </c>
      <c r="F570" s="4" t="s">
        <v>1147</v>
      </c>
      <c r="G570" s="4">
        <v>25</v>
      </c>
      <c r="H570" s="4">
        <v>201</v>
      </c>
      <c r="I570" s="4">
        <v>3158566</v>
      </c>
      <c r="J570" s="4">
        <v>12</v>
      </c>
      <c r="K570" s="4">
        <v>16.75</v>
      </c>
      <c r="L570" s="4">
        <v>263213.83333333302</v>
      </c>
      <c r="M570" s="4">
        <v>15714.258706467701</v>
      </c>
      <c r="N570" s="4" t="s">
        <v>47</v>
      </c>
      <c r="O570" s="4">
        <v>0.27212950433836097</v>
      </c>
      <c r="P570" s="4">
        <v>0.19911466764385299</v>
      </c>
    </row>
    <row r="571" spans="1:16">
      <c r="A571" s="4" t="s">
        <v>1182</v>
      </c>
      <c r="B571" s="4" t="s">
        <v>1145</v>
      </c>
      <c r="C571" s="4" t="s">
        <v>1183</v>
      </c>
      <c r="D571" s="4" t="s">
        <v>41</v>
      </c>
      <c r="E571" s="4" t="s">
        <v>50</v>
      </c>
      <c r="F571" s="4" t="s">
        <v>1147</v>
      </c>
      <c r="G571" s="4">
        <v>25</v>
      </c>
      <c r="H571" s="4">
        <v>186</v>
      </c>
      <c r="I571" s="4">
        <v>3138581</v>
      </c>
      <c r="J571" s="4">
        <v>12</v>
      </c>
      <c r="K571" s="4">
        <v>15.5</v>
      </c>
      <c r="L571" s="4">
        <v>261548.41666666701</v>
      </c>
      <c r="M571" s="4">
        <v>16874.091397849501</v>
      </c>
      <c r="N571" s="4" t="s">
        <v>35</v>
      </c>
      <c r="O571" s="4">
        <v>0.35555271633900798</v>
      </c>
      <c r="P571" s="4">
        <v>0.22755883438917099</v>
      </c>
    </row>
    <row r="572" spans="1:16">
      <c r="A572" s="4" t="s">
        <v>1184</v>
      </c>
      <c r="B572" s="4" t="s">
        <v>1145</v>
      </c>
      <c r="C572" s="4" t="s">
        <v>1185</v>
      </c>
      <c r="D572" s="4" t="s">
        <v>41</v>
      </c>
      <c r="E572" s="4" t="s">
        <v>50</v>
      </c>
      <c r="F572" s="4" t="s">
        <v>1147</v>
      </c>
      <c r="G572" s="4">
        <v>25</v>
      </c>
      <c r="H572" s="4">
        <v>206</v>
      </c>
      <c r="I572" s="4">
        <v>3129089</v>
      </c>
      <c r="J572" s="4">
        <v>12</v>
      </c>
      <c r="K572" s="4">
        <v>17.1666666666667</v>
      </c>
      <c r="L572" s="4">
        <v>260757.41666666701</v>
      </c>
      <c r="M572" s="4">
        <v>15189.7524271845</v>
      </c>
      <c r="N572" s="4" t="s">
        <v>35</v>
      </c>
      <c r="O572" s="4">
        <v>0.25773316131308499</v>
      </c>
      <c r="P572" s="4">
        <v>0.19241231197699901</v>
      </c>
    </row>
    <row r="573" spans="1:16">
      <c r="A573" s="4" t="s">
        <v>1186</v>
      </c>
      <c r="B573" s="4" t="s">
        <v>1145</v>
      </c>
      <c r="C573" s="4" t="s">
        <v>1187</v>
      </c>
      <c r="D573" s="4" t="s">
        <v>41</v>
      </c>
      <c r="E573" s="4" t="s">
        <v>50</v>
      </c>
      <c r="F573" s="4" t="s">
        <v>1147</v>
      </c>
      <c r="G573" s="4">
        <v>25</v>
      </c>
      <c r="H573" s="4">
        <v>213</v>
      </c>
      <c r="I573" s="4">
        <v>3125023</v>
      </c>
      <c r="J573" s="4">
        <v>12</v>
      </c>
      <c r="K573" s="4">
        <v>17.75</v>
      </c>
      <c r="L573" s="4">
        <v>260418.58333333299</v>
      </c>
      <c r="M573" s="4">
        <v>14671.4694835681</v>
      </c>
      <c r="N573" s="4" t="s">
        <v>47</v>
      </c>
      <c r="O573" s="4">
        <v>0.27689172207692597</v>
      </c>
      <c r="P573" s="4">
        <v>0.19086980101162301</v>
      </c>
    </row>
    <row r="574" spans="1:16">
      <c r="A574" s="4" t="s">
        <v>1188</v>
      </c>
      <c r="B574" s="4" t="s">
        <v>1145</v>
      </c>
      <c r="C574" s="4" t="s">
        <v>1189</v>
      </c>
      <c r="D574" s="4" t="s">
        <v>32</v>
      </c>
      <c r="E574" s="4" t="s">
        <v>67</v>
      </c>
      <c r="F574" s="4" t="s">
        <v>1147</v>
      </c>
      <c r="G574" s="4">
        <v>25</v>
      </c>
      <c r="H574" s="4">
        <v>196</v>
      </c>
      <c r="I574" s="4">
        <v>3124277</v>
      </c>
      <c r="J574" s="4">
        <v>12</v>
      </c>
      <c r="K574" s="4">
        <v>16.3333333333333</v>
      </c>
      <c r="L574" s="4">
        <v>260356.41666666701</v>
      </c>
      <c r="M574" s="4">
        <v>15940.1887755102</v>
      </c>
      <c r="N574" s="4" t="s">
        <v>51</v>
      </c>
      <c r="O574" s="4">
        <v>0.23757144452940601</v>
      </c>
      <c r="P574" s="4">
        <v>0.185666040153387</v>
      </c>
    </row>
    <row r="575" spans="1:16">
      <c r="A575" s="4" t="s">
        <v>1190</v>
      </c>
      <c r="B575" s="4" t="s">
        <v>1145</v>
      </c>
      <c r="C575" s="4" t="s">
        <v>1191</v>
      </c>
      <c r="D575" s="4" t="s">
        <v>32</v>
      </c>
      <c r="E575" s="4" t="s">
        <v>67</v>
      </c>
      <c r="F575" s="4" t="s">
        <v>1147</v>
      </c>
      <c r="G575" s="4">
        <v>25</v>
      </c>
      <c r="H575" s="4">
        <v>188</v>
      </c>
      <c r="I575" s="4">
        <v>3111337</v>
      </c>
      <c r="J575" s="4">
        <v>12</v>
      </c>
      <c r="K575" s="4">
        <v>15.6666666666667</v>
      </c>
      <c r="L575" s="4">
        <v>259278.08333333299</v>
      </c>
      <c r="M575" s="4">
        <v>16549.664893616999</v>
      </c>
      <c r="N575" s="4" t="s">
        <v>47</v>
      </c>
      <c r="O575" s="4">
        <v>0.31657130037665498</v>
      </c>
      <c r="P575" s="4">
        <v>0.226868952564584</v>
      </c>
    </row>
    <row r="576" spans="1:16">
      <c r="A576" s="4" t="s">
        <v>1192</v>
      </c>
      <c r="B576" s="4" t="s">
        <v>1145</v>
      </c>
      <c r="C576" s="4" t="s">
        <v>1193</v>
      </c>
      <c r="D576" s="4" t="s">
        <v>41</v>
      </c>
      <c r="E576" s="4" t="s">
        <v>42</v>
      </c>
      <c r="F576" s="4" t="s">
        <v>1147</v>
      </c>
      <c r="G576" s="4">
        <v>25</v>
      </c>
      <c r="H576" s="4">
        <v>213</v>
      </c>
      <c r="I576" s="4">
        <v>3107873</v>
      </c>
      <c r="J576" s="4">
        <v>12</v>
      </c>
      <c r="K576" s="4">
        <v>17.75</v>
      </c>
      <c r="L576" s="4">
        <v>258989.41666666701</v>
      </c>
      <c r="M576" s="4">
        <v>14590.953051643201</v>
      </c>
      <c r="N576" s="4" t="s">
        <v>51</v>
      </c>
      <c r="O576" s="4">
        <v>0.471983250280819</v>
      </c>
      <c r="P576" s="4">
        <v>0.28595823202833998</v>
      </c>
    </row>
    <row r="577" spans="1:16">
      <c r="A577" s="4" t="s">
        <v>1194</v>
      </c>
      <c r="B577" s="4" t="s">
        <v>1145</v>
      </c>
      <c r="C577" s="4" t="s">
        <v>1195</v>
      </c>
      <c r="D577" s="4" t="s">
        <v>41</v>
      </c>
      <c r="E577" s="4" t="s">
        <v>50</v>
      </c>
      <c r="F577" s="4" t="s">
        <v>1147</v>
      </c>
      <c r="G577" s="4">
        <v>25</v>
      </c>
      <c r="H577" s="4">
        <v>192</v>
      </c>
      <c r="I577" s="4">
        <v>3101884</v>
      </c>
      <c r="J577" s="4">
        <v>12</v>
      </c>
      <c r="K577" s="4">
        <v>16</v>
      </c>
      <c r="L577" s="4">
        <v>258490.33333333299</v>
      </c>
      <c r="M577" s="4">
        <v>16155.645833333299</v>
      </c>
      <c r="N577" s="4" t="s">
        <v>35</v>
      </c>
      <c r="O577" s="4">
        <v>0.41578215046081701</v>
      </c>
      <c r="P577" s="4">
        <v>0.25761130838969398</v>
      </c>
    </row>
    <row r="578" spans="1:16">
      <c r="A578" s="4" t="s">
        <v>1196</v>
      </c>
      <c r="B578" s="4" t="s">
        <v>1145</v>
      </c>
      <c r="C578" s="4" t="s">
        <v>1197</v>
      </c>
      <c r="D578" s="4" t="s">
        <v>32</v>
      </c>
      <c r="E578" s="4" t="s">
        <v>67</v>
      </c>
      <c r="F578" s="4" t="s">
        <v>1147</v>
      </c>
      <c r="G578" s="4">
        <v>25</v>
      </c>
      <c r="H578" s="4">
        <v>210</v>
      </c>
      <c r="I578" s="4">
        <v>3091263</v>
      </c>
      <c r="J578" s="4">
        <v>12</v>
      </c>
      <c r="K578" s="4">
        <v>17.5</v>
      </c>
      <c r="L578" s="4">
        <v>257605.25</v>
      </c>
      <c r="M578" s="4">
        <v>14720.3</v>
      </c>
      <c r="N578" s="4" t="s">
        <v>51</v>
      </c>
      <c r="O578" s="4">
        <v>0.35739793087809102</v>
      </c>
      <c r="P578" s="4">
        <v>0.213112720196975</v>
      </c>
    </row>
    <row r="579" spans="1:16">
      <c r="A579" s="4" t="s">
        <v>1198</v>
      </c>
      <c r="B579" s="4" t="s">
        <v>1145</v>
      </c>
      <c r="C579" s="4" t="s">
        <v>1199</v>
      </c>
      <c r="D579" s="4" t="s">
        <v>41</v>
      </c>
      <c r="E579" s="4" t="s">
        <v>42</v>
      </c>
      <c r="F579" s="4" t="s">
        <v>1147</v>
      </c>
      <c r="G579" s="4">
        <v>25</v>
      </c>
      <c r="H579" s="4">
        <v>188</v>
      </c>
      <c r="I579" s="4">
        <v>3083122</v>
      </c>
      <c r="J579" s="4">
        <v>12</v>
      </c>
      <c r="K579" s="4">
        <v>15.6666666666667</v>
      </c>
      <c r="L579" s="4">
        <v>256926.83333333299</v>
      </c>
      <c r="M579" s="4">
        <v>16399.585106383001</v>
      </c>
      <c r="N579" s="4" t="s">
        <v>51</v>
      </c>
      <c r="O579" s="4">
        <v>0.496751993596102</v>
      </c>
      <c r="P579" s="4">
        <v>0.30765028566333003</v>
      </c>
    </row>
    <row r="580" spans="1:16">
      <c r="A580" s="4" t="s">
        <v>1200</v>
      </c>
      <c r="B580" s="4" t="s">
        <v>1145</v>
      </c>
      <c r="C580" s="4" t="s">
        <v>1201</v>
      </c>
      <c r="D580" s="4" t="s">
        <v>41</v>
      </c>
      <c r="E580" s="4" t="s">
        <v>50</v>
      </c>
      <c r="F580" s="4" t="s">
        <v>1147</v>
      </c>
      <c r="G580" s="4">
        <v>25</v>
      </c>
      <c r="H580" s="4">
        <v>223</v>
      </c>
      <c r="I580" s="4">
        <v>3070886</v>
      </c>
      <c r="J580" s="4">
        <v>12</v>
      </c>
      <c r="K580" s="4">
        <v>18.5833333333333</v>
      </c>
      <c r="L580" s="4">
        <v>255907.16666666701</v>
      </c>
      <c r="M580" s="4">
        <v>13770.789237668199</v>
      </c>
      <c r="N580" s="4" t="s">
        <v>68</v>
      </c>
      <c r="O580" s="4">
        <v>0.32306832620943898</v>
      </c>
      <c r="P580" s="4">
        <v>0.20303276144792101</v>
      </c>
    </row>
    <row r="581" spans="1:16">
      <c r="A581" s="4" t="s">
        <v>1202</v>
      </c>
      <c r="B581" s="4" t="s">
        <v>1145</v>
      </c>
      <c r="C581" s="4" t="s">
        <v>1203</v>
      </c>
      <c r="D581" s="4" t="s">
        <v>32</v>
      </c>
      <c r="E581" s="4" t="s">
        <v>67</v>
      </c>
      <c r="F581" s="4" t="s">
        <v>1147</v>
      </c>
      <c r="G581" s="4">
        <v>25</v>
      </c>
      <c r="H581" s="4">
        <v>218</v>
      </c>
      <c r="I581" s="4">
        <v>3055438</v>
      </c>
      <c r="J581" s="4">
        <v>12</v>
      </c>
      <c r="K581" s="4">
        <v>18.1666666666667</v>
      </c>
      <c r="L581" s="4">
        <v>254619.83333333299</v>
      </c>
      <c r="M581" s="4">
        <v>14015.7706422018</v>
      </c>
      <c r="N581" s="4" t="s">
        <v>54</v>
      </c>
      <c r="O581" s="4">
        <v>0.253768526803686</v>
      </c>
      <c r="P581" s="4">
        <v>0.19122644334684599</v>
      </c>
    </row>
    <row r="582" spans="1:16">
      <c r="A582" s="4" t="s">
        <v>1204</v>
      </c>
      <c r="B582" s="4" t="s">
        <v>1145</v>
      </c>
      <c r="C582" s="4" t="s">
        <v>1205</v>
      </c>
      <c r="D582" s="4" t="s">
        <v>32</v>
      </c>
      <c r="E582" s="4" t="s">
        <v>67</v>
      </c>
      <c r="F582" s="4" t="s">
        <v>1147</v>
      </c>
      <c r="G582" s="4">
        <v>25</v>
      </c>
      <c r="H582" s="4">
        <v>216</v>
      </c>
      <c r="I582" s="4">
        <v>3043450</v>
      </c>
      <c r="J582" s="4">
        <v>12</v>
      </c>
      <c r="K582" s="4">
        <v>18</v>
      </c>
      <c r="L582" s="4">
        <v>253620.83333333299</v>
      </c>
      <c r="M582" s="4">
        <v>14090.046296296299</v>
      </c>
      <c r="N582" s="4" t="s">
        <v>68</v>
      </c>
      <c r="O582" s="4">
        <v>0.34088747966945399</v>
      </c>
      <c r="P582" s="4">
        <v>0.230330463946925</v>
      </c>
    </row>
    <row r="583" spans="1:16">
      <c r="A583" s="4" t="s">
        <v>1206</v>
      </c>
      <c r="B583" s="4" t="s">
        <v>1145</v>
      </c>
      <c r="C583" s="4" t="s">
        <v>1207</v>
      </c>
      <c r="D583" s="4" t="s">
        <v>41</v>
      </c>
      <c r="E583" s="4" t="s">
        <v>50</v>
      </c>
      <c r="F583" s="4" t="s">
        <v>1147</v>
      </c>
      <c r="G583" s="4">
        <v>25</v>
      </c>
      <c r="H583" s="4">
        <v>221</v>
      </c>
      <c r="I583" s="4">
        <v>3030441</v>
      </c>
      <c r="J583" s="4">
        <v>12</v>
      </c>
      <c r="K583" s="4">
        <v>18.4166666666667</v>
      </c>
      <c r="L583" s="4">
        <v>252536.75</v>
      </c>
      <c r="M583" s="4">
        <v>13712.402714932099</v>
      </c>
      <c r="N583" s="4" t="s">
        <v>54</v>
      </c>
      <c r="O583" s="4">
        <v>0.48845432067478001</v>
      </c>
      <c r="P583" s="4">
        <v>0.303563613131621</v>
      </c>
    </row>
    <row r="584" spans="1:16">
      <c r="A584" s="4" t="s">
        <v>1208</v>
      </c>
      <c r="B584" s="4" t="s">
        <v>1145</v>
      </c>
      <c r="C584" s="4" t="s">
        <v>1209</v>
      </c>
      <c r="D584" s="4" t="s">
        <v>32</v>
      </c>
      <c r="E584" s="4" t="s">
        <v>33</v>
      </c>
      <c r="F584" s="4" t="s">
        <v>1147</v>
      </c>
      <c r="G584" s="4">
        <v>25</v>
      </c>
      <c r="H584" s="4">
        <v>202</v>
      </c>
      <c r="I584" s="4">
        <v>3029636</v>
      </c>
      <c r="J584" s="4">
        <v>12</v>
      </c>
      <c r="K584" s="4">
        <v>16.8333333333333</v>
      </c>
      <c r="L584" s="4">
        <v>252469.66666666701</v>
      </c>
      <c r="M584" s="4">
        <v>14998.198019801999</v>
      </c>
      <c r="N584" s="4" t="s">
        <v>68</v>
      </c>
      <c r="O584" s="4">
        <v>0.371449243407459</v>
      </c>
      <c r="P584" s="4">
        <v>0.23221637233267001</v>
      </c>
    </row>
    <row r="585" spans="1:16">
      <c r="A585" s="4" t="s">
        <v>1210</v>
      </c>
      <c r="B585" s="4" t="s">
        <v>1145</v>
      </c>
      <c r="C585" s="4" t="s">
        <v>1211</v>
      </c>
      <c r="D585" s="4" t="s">
        <v>32</v>
      </c>
      <c r="E585" s="4" t="s">
        <v>33</v>
      </c>
      <c r="F585" s="4" t="s">
        <v>1147</v>
      </c>
      <c r="G585" s="4">
        <v>25</v>
      </c>
      <c r="H585" s="4">
        <v>209</v>
      </c>
      <c r="I585" s="4">
        <v>2989447</v>
      </c>
      <c r="J585" s="4">
        <v>12</v>
      </c>
      <c r="K585" s="4">
        <v>17.4166666666667</v>
      </c>
      <c r="L585" s="4">
        <v>249120.58333333299</v>
      </c>
      <c r="M585" s="4">
        <v>14303.574162679401</v>
      </c>
      <c r="N585" s="4" t="s">
        <v>35</v>
      </c>
      <c r="O585" s="4">
        <v>0.310170074933591</v>
      </c>
      <c r="P585" s="4">
        <v>0.224908299529095</v>
      </c>
    </row>
    <row r="586" spans="1:16">
      <c r="A586" s="4" t="s">
        <v>1212</v>
      </c>
      <c r="B586" s="4" t="s">
        <v>1145</v>
      </c>
      <c r="C586" s="4" t="s">
        <v>1213</v>
      </c>
      <c r="D586" s="4" t="s">
        <v>32</v>
      </c>
      <c r="E586" s="4" t="s">
        <v>33</v>
      </c>
      <c r="F586" s="4" t="s">
        <v>1147</v>
      </c>
      <c r="G586" s="4">
        <v>25</v>
      </c>
      <c r="H586" s="4">
        <v>207</v>
      </c>
      <c r="I586" s="4">
        <v>2973355</v>
      </c>
      <c r="J586" s="4">
        <v>12</v>
      </c>
      <c r="K586" s="4">
        <v>17.25</v>
      </c>
      <c r="L586" s="4">
        <v>247779.58333333299</v>
      </c>
      <c r="M586" s="4">
        <v>14364.033816425101</v>
      </c>
      <c r="N586" s="4" t="s">
        <v>54</v>
      </c>
      <c r="O586" s="4">
        <v>0.31382932747687398</v>
      </c>
      <c r="P586" s="4">
        <v>0.206398932116337</v>
      </c>
    </row>
    <row r="587" spans="1:16">
      <c r="A587" s="4" t="s">
        <v>1214</v>
      </c>
      <c r="B587" s="4" t="s">
        <v>1145</v>
      </c>
      <c r="C587" s="4" t="s">
        <v>1215</v>
      </c>
      <c r="D587" s="4" t="s">
        <v>41</v>
      </c>
      <c r="E587" s="4" t="s">
        <v>42</v>
      </c>
      <c r="F587" s="4" t="s">
        <v>1147</v>
      </c>
      <c r="G587" s="4">
        <v>25</v>
      </c>
      <c r="H587" s="4">
        <v>208</v>
      </c>
      <c r="I587" s="4">
        <v>2973298</v>
      </c>
      <c r="J587" s="4">
        <v>12</v>
      </c>
      <c r="K587" s="4">
        <v>17.3333333333333</v>
      </c>
      <c r="L587" s="4">
        <v>247774.83333333299</v>
      </c>
      <c r="M587" s="4">
        <v>14294.7019230769</v>
      </c>
      <c r="N587" s="4" t="s">
        <v>35</v>
      </c>
      <c r="O587" s="4">
        <v>0.213745140917594</v>
      </c>
      <c r="P587" s="4">
        <v>0.17672300361855101</v>
      </c>
    </row>
    <row r="588" spans="1:16">
      <c r="A588" s="4" t="s">
        <v>1216</v>
      </c>
      <c r="B588" s="4" t="s">
        <v>1145</v>
      </c>
      <c r="C588" s="4" t="s">
        <v>1217</v>
      </c>
      <c r="D588" s="4" t="s">
        <v>32</v>
      </c>
      <c r="E588" s="4" t="s">
        <v>33</v>
      </c>
      <c r="F588" s="4" t="s">
        <v>1147</v>
      </c>
      <c r="G588" s="4">
        <v>25</v>
      </c>
      <c r="H588" s="4">
        <v>217</v>
      </c>
      <c r="I588" s="4">
        <v>2971636</v>
      </c>
      <c r="J588" s="4">
        <v>12</v>
      </c>
      <c r="K588" s="4">
        <v>18.0833333333333</v>
      </c>
      <c r="L588" s="4">
        <v>247636.33333333299</v>
      </c>
      <c r="M588" s="4">
        <v>13694.175115207399</v>
      </c>
      <c r="N588" s="4" t="s">
        <v>35</v>
      </c>
      <c r="O588" s="4">
        <v>0.33629825456415302</v>
      </c>
      <c r="P588" s="4">
        <v>0.20795591501407601</v>
      </c>
    </row>
    <row r="589" spans="1:16">
      <c r="A589" s="4" t="s">
        <v>1218</v>
      </c>
      <c r="B589" s="4" t="s">
        <v>1145</v>
      </c>
      <c r="C589" s="4" t="s">
        <v>1219</v>
      </c>
      <c r="D589" s="4" t="s">
        <v>41</v>
      </c>
      <c r="E589" s="4" t="s">
        <v>42</v>
      </c>
      <c r="F589" s="4" t="s">
        <v>1147</v>
      </c>
      <c r="G589" s="4">
        <v>25</v>
      </c>
      <c r="H589" s="4">
        <v>216</v>
      </c>
      <c r="I589" s="4">
        <v>2959937</v>
      </c>
      <c r="J589" s="4">
        <v>12</v>
      </c>
      <c r="K589" s="4">
        <v>18</v>
      </c>
      <c r="L589" s="4">
        <v>246661.41666666701</v>
      </c>
      <c r="M589" s="4">
        <v>13703.412037037</v>
      </c>
      <c r="N589" s="4" t="s">
        <v>54</v>
      </c>
      <c r="O589" s="4">
        <v>0.334595972819692</v>
      </c>
      <c r="P589" s="4">
        <v>0.21146292533719199</v>
      </c>
    </row>
    <row r="590" spans="1:16">
      <c r="A590" s="4" t="s">
        <v>1220</v>
      </c>
      <c r="B590" s="4" t="s">
        <v>1145</v>
      </c>
      <c r="C590" s="4" t="s">
        <v>1221</v>
      </c>
      <c r="D590" s="4" t="s">
        <v>41</v>
      </c>
      <c r="E590" s="4" t="s">
        <v>50</v>
      </c>
      <c r="F590" s="4" t="s">
        <v>1147</v>
      </c>
      <c r="G590" s="4">
        <v>25</v>
      </c>
      <c r="H590" s="4">
        <v>202</v>
      </c>
      <c r="I590" s="4">
        <v>2957683</v>
      </c>
      <c r="J590" s="4">
        <v>12</v>
      </c>
      <c r="K590" s="4">
        <v>16.8333333333333</v>
      </c>
      <c r="L590" s="4">
        <v>246473.58333333299</v>
      </c>
      <c r="M590" s="4">
        <v>14641.995049505</v>
      </c>
      <c r="N590" s="4" t="s">
        <v>51</v>
      </c>
      <c r="O590" s="4">
        <v>0.36149783462257501</v>
      </c>
      <c r="P590" s="4">
        <v>0.22814181880977399</v>
      </c>
    </row>
    <row r="591" spans="1:16">
      <c r="A591" s="4" t="s">
        <v>1222</v>
      </c>
      <c r="B591" s="4" t="s">
        <v>1145</v>
      </c>
      <c r="C591" s="4" t="s">
        <v>1223</v>
      </c>
      <c r="D591" s="4" t="s">
        <v>41</v>
      </c>
      <c r="E591" s="4" t="s">
        <v>42</v>
      </c>
      <c r="F591" s="4" t="s">
        <v>1147</v>
      </c>
      <c r="G591" s="4">
        <v>25</v>
      </c>
      <c r="H591" s="4">
        <v>208</v>
      </c>
      <c r="I591" s="4">
        <v>2946576</v>
      </c>
      <c r="J591" s="4">
        <v>12</v>
      </c>
      <c r="K591" s="4">
        <v>17.3333333333333</v>
      </c>
      <c r="L591" s="4">
        <v>245548</v>
      </c>
      <c r="M591" s="4">
        <v>14166.2307692308</v>
      </c>
      <c r="N591" s="4" t="s">
        <v>51</v>
      </c>
      <c r="O591" s="4">
        <v>0.41891979029219001</v>
      </c>
      <c r="P591" s="4">
        <v>0.246845326005</v>
      </c>
    </row>
    <row r="592" spans="1:16">
      <c r="A592" s="4" t="s">
        <v>1224</v>
      </c>
      <c r="B592" s="4" t="s">
        <v>1145</v>
      </c>
      <c r="C592" s="4" t="s">
        <v>1225</v>
      </c>
      <c r="D592" s="4" t="s">
        <v>32</v>
      </c>
      <c r="E592" s="4" t="s">
        <v>33</v>
      </c>
      <c r="F592" s="4" t="s">
        <v>1147</v>
      </c>
      <c r="G592" s="4">
        <v>25</v>
      </c>
      <c r="H592" s="4">
        <v>211</v>
      </c>
      <c r="I592" s="4">
        <v>2918224</v>
      </c>
      <c r="J592" s="4">
        <v>12</v>
      </c>
      <c r="K592" s="4">
        <v>17.5833333333333</v>
      </c>
      <c r="L592" s="4">
        <v>243185.33333333299</v>
      </c>
      <c r="M592" s="4">
        <v>13830.4454976303</v>
      </c>
      <c r="N592" s="4" t="s">
        <v>68</v>
      </c>
      <c r="O592" s="4">
        <v>0.34777076742566698</v>
      </c>
      <c r="P592" s="4">
        <v>0.213443944323011</v>
      </c>
    </row>
    <row r="593" spans="1:16">
      <c r="A593" s="4" t="s">
        <v>1226</v>
      </c>
      <c r="B593" s="4" t="s">
        <v>1145</v>
      </c>
      <c r="C593" s="4" t="s">
        <v>1227</v>
      </c>
      <c r="D593" s="4" t="s">
        <v>32</v>
      </c>
      <c r="E593" s="4" t="s">
        <v>67</v>
      </c>
      <c r="F593" s="4" t="s">
        <v>1147</v>
      </c>
      <c r="G593" s="4">
        <v>25</v>
      </c>
      <c r="H593" s="4">
        <v>197</v>
      </c>
      <c r="I593" s="4">
        <v>2894720</v>
      </c>
      <c r="J593" s="4">
        <v>12</v>
      </c>
      <c r="K593" s="4">
        <v>16.4166666666667</v>
      </c>
      <c r="L593" s="4">
        <v>241226.66666666701</v>
      </c>
      <c r="M593" s="4">
        <v>14694.0101522843</v>
      </c>
      <c r="N593" s="4" t="s">
        <v>35</v>
      </c>
      <c r="O593" s="4">
        <v>0.30398276862701701</v>
      </c>
      <c r="P593" s="4">
        <v>0.20585175561240099</v>
      </c>
    </row>
    <row r="594" spans="1:16">
      <c r="A594" s="4" t="s">
        <v>1228</v>
      </c>
      <c r="B594" s="4" t="s">
        <v>1145</v>
      </c>
      <c r="C594" s="4" t="s">
        <v>1229</v>
      </c>
      <c r="D594" s="4" t="s">
        <v>32</v>
      </c>
      <c r="E594" s="4" t="s">
        <v>67</v>
      </c>
      <c r="F594" s="4" t="s">
        <v>1147</v>
      </c>
      <c r="G594" s="4">
        <v>25</v>
      </c>
      <c r="H594" s="4">
        <v>195</v>
      </c>
      <c r="I594" s="4">
        <v>2864547</v>
      </c>
      <c r="J594" s="4">
        <v>12</v>
      </c>
      <c r="K594" s="4">
        <v>16.25</v>
      </c>
      <c r="L594" s="4">
        <v>238712.25</v>
      </c>
      <c r="M594" s="4">
        <v>14689.984615384599</v>
      </c>
      <c r="N594" s="4" t="s">
        <v>68</v>
      </c>
      <c r="O594" s="4">
        <v>0.29954299929447797</v>
      </c>
      <c r="P594" s="4">
        <v>0.226852802025584</v>
      </c>
    </row>
    <row r="595" spans="1:16">
      <c r="A595" s="4" t="s">
        <v>1230</v>
      </c>
      <c r="B595" s="4" t="s">
        <v>1145</v>
      </c>
      <c r="C595" s="4" t="s">
        <v>1231</v>
      </c>
      <c r="D595" s="4" t="s">
        <v>32</v>
      </c>
      <c r="E595" s="4" t="s">
        <v>67</v>
      </c>
      <c r="F595" s="4" t="s">
        <v>1147</v>
      </c>
      <c r="G595" s="4">
        <v>25</v>
      </c>
      <c r="H595" s="4">
        <v>213</v>
      </c>
      <c r="I595" s="4">
        <v>2848546</v>
      </c>
      <c r="J595" s="4">
        <v>12</v>
      </c>
      <c r="K595" s="4">
        <v>17.75</v>
      </c>
      <c r="L595" s="4">
        <v>237378.83333333299</v>
      </c>
      <c r="M595" s="4">
        <v>13373.455399061</v>
      </c>
      <c r="N595" s="4" t="s">
        <v>35</v>
      </c>
      <c r="O595" s="4">
        <v>0.29177166175304903</v>
      </c>
      <c r="P595" s="4">
        <v>0.21823726052975501</v>
      </c>
    </row>
    <row r="596" spans="1:16">
      <c r="A596" s="4" t="s">
        <v>1232</v>
      </c>
      <c r="B596" s="4" t="s">
        <v>1145</v>
      </c>
      <c r="C596" s="4" t="s">
        <v>1233</v>
      </c>
      <c r="D596" s="4" t="s">
        <v>32</v>
      </c>
      <c r="E596" s="4" t="s">
        <v>33</v>
      </c>
      <c r="F596" s="4" t="s">
        <v>1147</v>
      </c>
      <c r="G596" s="4">
        <v>25</v>
      </c>
      <c r="H596" s="4">
        <v>193</v>
      </c>
      <c r="I596" s="4">
        <v>2837300</v>
      </c>
      <c r="J596" s="4">
        <v>12</v>
      </c>
      <c r="K596" s="4">
        <v>16.0833333333333</v>
      </c>
      <c r="L596" s="4">
        <v>236441.66666666701</v>
      </c>
      <c r="M596" s="4">
        <v>14701.0362694301</v>
      </c>
      <c r="N596" s="4" t="s">
        <v>35</v>
      </c>
      <c r="O596" s="4">
        <v>0.26739505868254998</v>
      </c>
      <c r="P596" s="4">
        <v>0.20196057939930601</v>
      </c>
    </row>
    <row r="597" spans="1:16">
      <c r="A597" s="4" t="s">
        <v>1234</v>
      </c>
      <c r="B597" s="4" t="s">
        <v>1145</v>
      </c>
      <c r="C597" s="4" t="s">
        <v>1235</v>
      </c>
      <c r="D597" s="4" t="s">
        <v>41</v>
      </c>
      <c r="E597" s="4" t="s">
        <v>50</v>
      </c>
      <c r="F597" s="4" t="s">
        <v>1147</v>
      </c>
      <c r="G597" s="4">
        <v>25</v>
      </c>
      <c r="H597" s="4">
        <v>190</v>
      </c>
      <c r="I597" s="4">
        <v>2835262</v>
      </c>
      <c r="J597" s="4">
        <v>12</v>
      </c>
      <c r="K597" s="4">
        <v>15.8333333333333</v>
      </c>
      <c r="L597" s="4">
        <v>236271.83333333299</v>
      </c>
      <c r="M597" s="4">
        <v>14922.4315789474</v>
      </c>
      <c r="N597" s="4" t="s">
        <v>35</v>
      </c>
      <c r="O597" s="4">
        <v>0.31745531806231703</v>
      </c>
      <c r="P597" s="4">
        <v>0.222578732663921</v>
      </c>
    </row>
    <row r="598" spans="1:16">
      <c r="A598" s="4" t="s">
        <v>1236</v>
      </c>
      <c r="B598" s="4" t="s">
        <v>1145</v>
      </c>
      <c r="C598" s="4" t="s">
        <v>1237</v>
      </c>
      <c r="D598" s="4" t="s">
        <v>41</v>
      </c>
      <c r="E598" s="4" t="s">
        <v>42</v>
      </c>
      <c r="F598" s="4" t="s">
        <v>1147</v>
      </c>
      <c r="G598" s="4">
        <v>25</v>
      </c>
      <c r="H598" s="4">
        <v>186</v>
      </c>
      <c r="I598" s="4">
        <v>2832805</v>
      </c>
      <c r="J598" s="4">
        <v>12</v>
      </c>
      <c r="K598" s="4">
        <v>15.5</v>
      </c>
      <c r="L598" s="4">
        <v>236067.08333333299</v>
      </c>
      <c r="M598" s="4">
        <v>15230.1344086022</v>
      </c>
      <c r="N598" s="4" t="s">
        <v>47</v>
      </c>
      <c r="O598" s="4">
        <v>0.424349010962632</v>
      </c>
      <c r="P598" s="4">
        <v>0.26777608018981203</v>
      </c>
    </row>
    <row r="599" spans="1:16">
      <c r="A599" s="4" t="s">
        <v>1238</v>
      </c>
      <c r="B599" s="4" t="s">
        <v>1145</v>
      </c>
      <c r="C599" s="4" t="s">
        <v>1239</v>
      </c>
      <c r="D599" s="4" t="s">
        <v>32</v>
      </c>
      <c r="E599" s="4" t="s">
        <v>33</v>
      </c>
      <c r="F599" s="4" t="s">
        <v>1147</v>
      </c>
      <c r="G599" s="4">
        <v>25</v>
      </c>
      <c r="H599" s="4">
        <v>193</v>
      </c>
      <c r="I599" s="4">
        <v>2819581</v>
      </c>
      <c r="J599" s="4">
        <v>12</v>
      </c>
      <c r="K599" s="4">
        <v>16.0833333333333</v>
      </c>
      <c r="L599" s="4">
        <v>234965.08333333299</v>
      </c>
      <c r="M599" s="4">
        <v>14609.227979274599</v>
      </c>
      <c r="N599" s="4" t="s">
        <v>54</v>
      </c>
      <c r="O599" s="4">
        <v>0.29866317016606397</v>
      </c>
      <c r="P599" s="4">
        <v>0.193328373375698</v>
      </c>
    </row>
    <row r="600" spans="1:16">
      <c r="A600" s="4" t="s">
        <v>1240</v>
      </c>
      <c r="B600" s="4" t="s">
        <v>1145</v>
      </c>
      <c r="C600" s="4" t="s">
        <v>1241</v>
      </c>
      <c r="D600" s="4" t="s">
        <v>32</v>
      </c>
      <c r="E600" s="4" t="s">
        <v>67</v>
      </c>
      <c r="F600" s="4" t="s">
        <v>1147</v>
      </c>
      <c r="G600" s="4">
        <v>25</v>
      </c>
      <c r="H600" s="4">
        <v>212</v>
      </c>
      <c r="I600" s="4">
        <v>2792805</v>
      </c>
      <c r="J600" s="4">
        <v>12</v>
      </c>
      <c r="K600" s="4">
        <v>17.6666666666667</v>
      </c>
      <c r="L600" s="4">
        <v>232733.75</v>
      </c>
      <c r="M600" s="4">
        <v>13173.608490565999</v>
      </c>
      <c r="N600" s="4" t="s">
        <v>54</v>
      </c>
      <c r="O600" s="4">
        <v>0.262863322000641</v>
      </c>
      <c r="P600" s="4">
        <v>0.178107820240054</v>
      </c>
    </row>
    <row r="601" spans="1:16">
      <c r="A601" s="4" t="s">
        <v>1242</v>
      </c>
      <c r="B601" s="4" t="s">
        <v>1145</v>
      </c>
      <c r="C601" s="4" t="s">
        <v>1243</v>
      </c>
      <c r="D601" s="4" t="s">
        <v>32</v>
      </c>
      <c r="E601" s="4" t="s">
        <v>67</v>
      </c>
      <c r="F601" s="4" t="s">
        <v>1147</v>
      </c>
      <c r="G601" s="4">
        <v>25</v>
      </c>
      <c r="H601" s="4">
        <v>191</v>
      </c>
      <c r="I601" s="4">
        <v>2789921</v>
      </c>
      <c r="J601" s="4">
        <v>12</v>
      </c>
      <c r="K601" s="4">
        <v>15.9166666666667</v>
      </c>
      <c r="L601" s="4">
        <v>232493.41666666701</v>
      </c>
      <c r="M601" s="4">
        <v>14606.9162303665</v>
      </c>
      <c r="N601" s="4" t="s">
        <v>51</v>
      </c>
      <c r="O601" s="4">
        <v>0.30896107810938001</v>
      </c>
      <c r="P601" s="4">
        <v>0.22296540217675301</v>
      </c>
    </row>
    <row r="602" spans="1:16">
      <c r="A602" s="4" t="s">
        <v>1244</v>
      </c>
      <c r="B602" s="4" t="s">
        <v>1145</v>
      </c>
      <c r="C602" s="4" t="s">
        <v>1245</v>
      </c>
      <c r="D602" s="4" t="s">
        <v>32</v>
      </c>
      <c r="E602" s="4" t="s">
        <v>67</v>
      </c>
      <c r="F602" s="4" t="s">
        <v>1147</v>
      </c>
      <c r="G602" s="4">
        <v>25</v>
      </c>
      <c r="H602" s="4">
        <v>206</v>
      </c>
      <c r="I602" s="4">
        <v>2787706</v>
      </c>
      <c r="J602" s="4">
        <v>12</v>
      </c>
      <c r="K602" s="4">
        <v>17.1666666666667</v>
      </c>
      <c r="L602" s="4">
        <v>232308.83333333299</v>
      </c>
      <c r="M602" s="4">
        <v>13532.5533980583</v>
      </c>
      <c r="N602" s="4" t="s">
        <v>51</v>
      </c>
      <c r="O602" s="4">
        <v>0.34455390919989398</v>
      </c>
      <c r="P602" s="4">
        <v>0.23847682017872701</v>
      </c>
    </row>
    <row r="603" spans="1:16">
      <c r="A603" s="4" t="s">
        <v>1246</v>
      </c>
      <c r="B603" s="4" t="s">
        <v>1145</v>
      </c>
      <c r="C603" s="4" t="s">
        <v>1247</v>
      </c>
      <c r="D603" s="4" t="s">
        <v>41</v>
      </c>
      <c r="E603" s="4" t="s">
        <v>50</v>
      </c>
      <c r="F603" s="4" t="s">
        <v>1147</v>
      </c>
      <c r="G603" s="4">
        <v>25</v>
      </c>
      <c r="H603" s="4">
        <v>206</v>
      </c>
      <c r="I603" s="4">
        <v>2757470</v>
      </c>
      <c r="J603" s="4">
        <v>12</v>
      </c>
      <c r="K603" s="4">
        <v>17.1666666666667</v>
      </c>
      <c r="L603" s="4">
        <v>229789.16666666701</v>
      </c>
      <c r="M603" s="4">
        <v>13385.7766990291</v>
      </c>
      <c r="N603" s="4" t="s">
        <v>51</v>
      </c>
      <c r="O603" s="4">
        <v>0.36216785676725399</v>
      </c>
      <c r="P603" s="4">
        <v>0.239098348576752</v>
      </c>
    </row>
    <row r="604" spans="1:16">
      <c r="A604" s="4" t="s">
        <v>1248</v>
      </c>
      <c r="B604" s="4" t="s">
        <v>1145</v>
      </c>
      <c r="C604" s="4" t="s">
        <v>1249</v>
      </c>
      <c r="D604" s="4" t="s">
        <v>32</v>
      </c>
      <c r="E604" s="4" t="s">
        <v>33</v>
      </c>
      <c r="F604" s="4" t="s">
        <v>1147</v>
      </c>
      <c r="G604" s="4">
        <v>25</v>
      </c>
      <c r="H604" s="4">
        <v>203</v>
      </c>
      <c r="I604" s="4">
        <v>2748326</v>
      </c>
      <c r="J604" s="4">
        <v>12</v>
      </c>
      <c r="K604" s="4">
        <v>16.9166666666667</v>
      </c>
      <c r="L604" s="4">
        <v>229027.16666666701</v>
      </c>
      <c r="M604" s="4">
        <v>13538.5517241379</v>
      </c>
      <c r="N604" s="4" t="s">
        <v>54</v>
      </c>
      <c r="O604" s="4">
        <v>0.314756328033865</v>
      </c>
      <c r="P604" s="4">
        <v>0.198837339458551</v>
      </c>
    </row>
    <row r="605" spans="1:16">
      <c r="A605" s="4" t="s">
        <v>1250</v>
      </c>
      <c r="B605" s="4" t="s">
        <v>1145</v>
      </c>
      <c r="C605" s="4" t="s">
        <v>1251</v>
      </c>
      <c r="D605" s="4" t="s">
        <v>32</v>
      </c>
      <c r="E605" s="4" t="s">
        <v>33</v>
      </c>
      <c r="F605" s="4" t="s">
        <v>1147</v>
      </c>
      <c r="G605" s="4">
        <v>25</v>
      </c>
      <c r="H605" s="4">
        <v>206</v>
      </c>
      <c r="I605" s="4">
        <v>2735314</v>
      </c>
      <c r="J605" s="4">
        <v>12</v>
      </c>
      <c r="K605" s="4">
        <v>17.1666666666667</v>
      </c>
      <c r="L605" s="4">
        <v>227942.83333333299</v>
      </c>
      <c r="M605" s="4">
        <v>13278.2233009709</v>
      </c>
      <c r="N605" s="4" t="s">
        <v>35</v>
      </c>
      <c r="O605" s="4">
        <v>0.28027751110110199</v>
      </c>
      <c r="P605" s="4">
        <v>0.198154304086998</v>
      </c>
    </row>
    <row r="606" spans="1:16">
      <c r="A606" s="4" t="s">
        <v>1252</v>
      </c>
      <c r="B606" s="4" t="s">
        <v>1145</v>
      </c>
      <c r="C606" s="4" t="s">
        <v>1253</v>
      </c>
      <c r="D606" s="4" t="s">
        <v>32</v>
      </c>
      <c r="E606" s="4" t="s">
        <v>67</v>
      </c>
      <c r="F606" s="4" t="s">
        <v>1147</v>
      </c>
      <c r="G606" s="4">
        <v>25</v>
      </c>
      <c r="H606" s="4">
        <v>194</v>
      </c>
      <c r="I606" s="4">
        <v>2728045</v>
      </c>
      <c r="J606" s="4">
        <v>12</v>
      </c>
      <c r="K606" s="4">
        <v>16.1666666666667</v>
      </c>
      <c r="L606" s="4">
        <v>227337.08333333299</v>
      </c>
      <c r="M606" s="4">
        <v>14062.087628866</v>
      </c>
      <c r="N606" s="4" t="s">
        <v>51</v>
      </c>
      <c r="O606" s="4">
        <v>0.317217641204599</v>
      </c>
      <c r="P606" s="4">
        <v>0.22448193831442401</v>
      </c>
    </row>
    <row r="607" spans="1:16">
      <c r="A607" s="4" t="s">
        <v>1254</v>
      </c>
      <c r="B607" s="4" t="s">
        <v>1145</v>
      </c>
      <c r="C607" s="4" t="s">
        <v>1255</v>
      </c>
      <c r="D607" s="4" t="s">
        <v>32</v>
      </c>
      <c r="E607" s="4" t="s">
        <v>67</v>
      </c>
      <c r="F607" s="4" t="s">
        <v>1147</v>
      </c>
      <c r="G607" s="4">
        <v>25</v>
      </c>
      <c r="H607" s="4">
        <v>195</v>
      </c>
      <c r="I607" s="4">
        <v>2726406</v>
      </c>
      <c r="J607" s="4">
        <v>12</v>
      </c>
      <c r="K607" s="4">
        <v>16.25</v>
      </c>
      <c r="L607" s="4">
        <v>227200.5</v>
      </c>
      <c r="M607" s="4">
        <v>13981.569230769201</v>
      </c>
      <c r="N607" s="4" t="s">
        <v>38</v>
      </c>
      <c r="O607" s="4">
        <v>0.407865152878918</v>
      </c>
      <c r="P607" s="4">
        <v>0.25200447511435398</v>
      </c>
    </row>
    <row r="608" spans="1:16">
      <c r="A608" s="4" t="s">
        <v>1256</v>
      </c>
      <c r="B608" s="4" t="s">
        <v>1145</v>
      </c>
      <c r="C608" s="4" t="s">
        <v>1257</v>
      </c>
      <c r="D608" s="4" t="s">
        <v>32</v>
      </c>
      <c r="E608" s="4" t="s">
        <v>67</v>
      </c>
      <c r="F608" s="4" t="s">
        <v>1147</v>
      </c>
      <c r="G608" s="4">
        <v>25</v>
      </c>
      <c r="H608" s="4">
        <v>196</v>
      </c>
      <c r="I608" s="4">
        <v>2726368</v>
      </c>
      <c r="J608" s="4">
        <v>12</v>
      </c>
      <c r="K608" s="4">
        <v>16.3333333333333</v>
      </c>
      <c r="L608" s="4">
        <v>227197.33333333299</v>
      </c>
      <c r="M608" s="4">
        <v>13910.0408163265</v>
      </c>
      <c r="N608" s="4" t="s">
        <v>51</v>
      </c>
      <c r="O608" s="4">
        <v>0.24231064918602299</v>
      </c>
      <c r="P608" s="4">
        <v>0.197527305924903</v>
      </c>
    </row>
    <row r="609" spans="1:16">
      <c r="A609" s="4" t="s">
        <v>1258</v>
      </c>
      <c r="B609" s="4" t="s">
        <v>1145</v>
      </c>
      <c r="C609" s="4" t="s">
        <v>1259</v>
      </c>
      <c r="D609" s="4" t="s">
        <v>32</v>
      </c>
      <c r="E609" s="4" t="s">
        <v>33</v>
      </c>
      <c r="F609" s="4" t="s">
        <v>1147</v>
      </c>
      <c r="G609" s="4">
        <v>25</v>
      </c>
      <c r="H609" s="4">
        <v>184</v>
      </c>
      <c r="I609" s="4">
        <v>2717132</v>
      </c>
      <c r="J609" s="4">
        <v>12</v>
      </c>
      <c r="K609" s="4">
        <v>15.3333333333333</v>
      </c>
      <c r="L609" s="4">
        <v>226427.66666666701</v>
      </c>
      <c r="M609" s="4">
        <v>14767.0217391304</v>
      </c>
      <c r="N609" s="4" t="s">
        <v>38</v>
      </c>
      <c r="O609" s="4">
        <v>0.27865079797374598</v>
      </c>
      <c r="P609" s="4">
        <v>0.19742490426345999</v>
      </c>
    </row>
    <row r="610" spans="1:16">
      <c r="A610" s="4" t="s">
        <v>1260</v>
      </c>
      <c r="B610" s="4" t="s">
        <v>1145</v>
      </c>
      <c r="C610" s="4" t="s">
        <v>1261</v>
      </c>
      <c r="D610" s="4" t="s">
        <v>41</v>
      </c>
      <c r="E610" s="4" t="s">
        <v>50</v>
      </c>
      <c r="F610" s="4" t="s">
        <v>1147</v>
      </c>
      <c r="G610" s="4">
        <v>25</v>
      </c>
      <c r="H610" s="4">
        <v>219</v>
      </c>
      <c r="I610" s="4">
        <v>2715991</v>
      </c>
      <c r="J610" s="4">
        <v>12</v>
      </c>
      <c r="K610" s="4">
        <v>18.25</v>
      </c>
      <c r="L610" s="4">
        <v>226332.58333333299</v>
      </c>
      <c r="M610" s="4">
        <v>12401.785388127901</v>
      </c>
      <c r="N610" s="4" t="s">
        <v>47</v>
      </c>
      <c r="O610" s="4">
        <v>0.382713344779125</v>
      </c>
      <c r="P610" s="4">
        <v>0.22782275340036401</v>
      </c>
    </row>
    <row r="611" spans="1:16">
      <c r="A611" s="4" t="s">
        <v>1262</v>
      </c>
      <c r="B611" s="4" t="s">
        <v>1145</v>
      </c>
      <c r="C611" s="4" t="s">
        <v>1263</v>
      </c>
      <c r="D611" s="4" t="s">
        <v>32</v>
      </c>
      <c r="E611" s="4" t="s">
        <v>33</v>
      </c>
      <c r="F611" s="4" t="s">
        <v>1147</v>
      </c>
      <c r="G611" s="4">
        <v>25</v>
      </c>
      <c r="H611" s="4">
        <v>202</v>
      </c>
      <c r="I611" s="4">
        <v>2712648</v>
      </c>
      <c r="J611" s="4">
        <v>12</v>
      </c>
      <c r="K611" s="4">
        <v>16.8333333333333</v>
      </c>
      <c r="L611" s="4">
        <v>226054</v>
      </c>
      <c r="M611" s="4">
        <v>13428.950495049499</v>
      </c>
      <c r="N611" s="4" t="s">
        <v>68</v>
      </c>
      <c r="O611" s="4">
        <v>0.42957582406563599</v>
      </c>
      <c r="P611" s="4">
        <v>0.255289196774864</v>
      </c>
    </row>
    <row r="612" spans="1:16">
      <c r="A612" s="4" t="s">
        <v>1264</v>
      </c>
      <c r="B612" s="4" t="s">
        <v>1145</v>
      </c>
      <c r="C612" s="4" t="s">
        <v>1265</v>
      </c>
      <c r="D612" s="4" t="s">
        <v>41</v>
      </c>
      <c r="E612" s="4" t="s">
        <v>50</v>
      </c>
      <c r="F612" s="4" t="s">
        <v>1147</v>
      </c>
      <c r="G612" s="4">
        <v>25</v>
      </c>
      <c r="H612" s="4">
        <v>196</v>
      </c>
      <c r="I612" s="4">
        <v>2705799</v>
      </c>
      <c r="J612" s="4">
        <v>12</v>
      </c>
      <c r="K612" s="4">
        <v>16.3333333333333</v>
      </c>
      <c r="L612" s="4">
        <v>225483.25</v>
      </c>
      <c r="M612" s="4">
        <v>13805.096938775499</v>
      </c>
      <c r="N612" s="4" t="s">
        <v>51</v>
      </c>
      <c r="O612" s="4">
        <v>0.27755646298930597</v>
      </c>
      <c r="P612" s="4">
        <v>0.18194713312659</v>
      </c>
    </row>
    <row r="613" spans="1:16">
      <c r="A613" s="4" t="s">
        <v>1266</v>
      </c>
      <c r="B613" s="4" t="s">
        <v>1145</v>
      </c>
      <c r="C613" s="4" t="s">
        <v>1267</v>
      </c>
      <c r="D613" s="4" t="s">
        <v>32</v>
      </c>
      <c r="E613" s="4" t="s">
        <v>67</v>
      </c>
      <c r="F613" s="4" t="s">
        <v>1147</v>
      </c>
      <c r="G613" s="4">
        <v>25</v>
      </c>
      <c r="H613" s="4">
        <v>211</v>
      </c>
      <c r="I613" s="4">
        <v>2692556</v>
      </c>
      <c r="J613" s="4">
        <v>12</v>
      </c>
      <c r="K613" s="4">
        <v>17.5833333333333</v>
      </c>
      <c r="L613" s="4">
        <v>224379.66666666701</v>
      </c>
      <c r="M613" s="4">
        <v>12760.928909952599</v>
      </c>
      <c r="N613" s="4" t="s">
        <v>68</v>
      </c>
      <c r="O613" s="4">
        <v>0.24220257628810701</v>
      </c>
      <c r="P613" s="4">
        <v>0.190004216401335</v>
      </c>
    </row>
    <row r="614" spans="1:16">
      <c r="A614" s="4" t="s">
        <v>1268</v>
      </c>
      <c r="B614" s="4" t="s">
        <v>1145</v>
      </c>
      <c r="C614" s="4" t="s">
        <v>1269</v>
      </c>
      <c r="D614" s="4" t="s">
        <v>32</v>
      </c>
      <c r="E614" s="4" t="s">
        <v>33</v>
      </c>
      <c r="F614" s="4" t="s">
        <v>1147</v>
      </c>
      <c r="G614" s="4">
        <v>25</v>
      </c>
      <c r="H614" s="4">
        <v>207</v>
      </c>
      <c r="I614" s="4">
        <v>2690295</v>
      </c>
      <c r="J614" s="4">
        <v>12</v>
      </c>
      <c r="K614" s="4">
        <v>17.25</v>
      </c>
      <c r="L614" s="4">
        <v>224191.25</v>
      </c>
      <c r="M614" s="4">
        <v>12996.594202898599</v>
      </c>
      <c r="N614" s="4" t="s">
        <v>35</v>
      </c>
      <c r="O614" s="4">
        <v>0.286868540438874</v>
      </c>
      <c r="P614" s="4">
        <v>0.19062478575757699</v>
      </c>
    </row>
    <row r="615" spans="1:16">
      <c r="A615" s="4" t="s">
        <v>1270</v>
      </c>
      <c r="B615" s="4" t="s">
        <v>1145</v>
      </c>
      <c r="C615" s="4" t="s">
        <v>1271</v>
      </c>
      <c r="D615" s="4" t="s">
        <v>32</v>
      </c>
      <c r="E615" s="4" t="s">
        <v>67</v>
      </c>
      <c r="F615" s="4" t="s">
        <v>1147</v>
      </c>
      <c r="G615" s="4">
        <v>25</v>
      </c>
      <c r="H615" s="4">
        <v>201</v>
      </c>
      <c r="I615" s="4">
        <v>2682005</v>
      </c>
      <c r="J615" s="4">
        <v>12</v>
      </c>
      <c r="K615" s="4">
        <v>16.75</v>
      </c>
      <c r="L615" s="4">
        <v>223500.41666666701</v>
      </c>
      <c r="M615" s="4">
        <v>13343.3084577114</v>
      </c>
      <c r="N615" s="4" t="s">
        <v>35</v>
      </c>
      <c r="O615" s="4">
        <v>0.32440468977499998</v>
      </c>
      <c r="P615" s="4">
        <v>0.22348545488518101</v>
      </c>
    </row>
    <row r="616" spans="1:16">
      <c r="A616" s="4" t="s">
        <v>1272</v>
      </c>
      <c r="B616" s="4" t="s">
        <v>1145</v>
      </c>
      <c r="C616" s="4" t="s">
        <v>1273</v>
      </c>
      <c r="D616" s="4" t="s">
        <v>32</v>
      </c>
      <c r="E616" s="4" t="s">
        <v>67</v>
      </c>
      <c r="F616" s="4" t="s">
        <v>1147</v>
      </c>
      <c r="G616" s="4">
        <v>25</v>
      </c>
      <c r="H616" s="4">
        <v>193</v>
      </c>
      <c r="I616" s="4">
        <v>2676869</v>
      </c>
      <c r="J616" s="4">
        <v>12</v>
      </c>
      <c r="K616" s="4">
        <v>16.0833333333333</v>
      </c>
      <c r="L616" s="4">
        <v>223072.41666666701</v>
      </c>
      <c r="M616" s="4">
        <v>13869.787564766801</v>
      </c>
      <c r="N616" s="4" t="s">
        <v>68</v>
      </c>
      <c r="O616" s="4">
        <v>0.32871126678219997</v>
      </c>
      <c r="P616" s="4">
        <v>0.218723815186078</v>
      </c>
    </row>
    <row r="617" spans="1:16">
      <c r="A617" s="4" t="s">
        <v>1274</v>
      </c>
      <c r="B617" s="4" t="s">
        <v>1145</v>
      </c>
      <c r="C617" s="4" t="s">
        <v>1275</v>
      </c>
      <c r="D617" s="4" t="s">
        <v>41</v>
      </c>
      <c r="E617" s="4" t="s">
        <v>42</v>
      </c>
      <c r="F617" s="4" t="s">
        <v>1147</v>
      </c>
      <c r="G617" s="4">
        <v>25</v>
      </c>
      <c r="H617" s="4">
        <v>198</v>
      </c>
      <c r="I617" s="4">
        <v>2674619</v>
      </c>
      <c r="J617" s="4">
        <v>12</v>
      </c>
      <c r="K617" s="4">
        <v>16.5</v>
      </c>
      <c r="L617" s="4">
        <v>222884.91666666701</v>
      </c>
      <c r="M617" s="4">
        <v>13508.176767676799</v>
      </c>
      <c r="N617" s="4" t="s">
        <v>54</v>
      </c>
      <c r="O617" s="4">
        <v>0.26763325916700698</v>
      </c>
      <c r="P617" s="4">
        <v>0.186785759316551</v>
      </c>
    </row>
    <row r="618" spans="1:16">
      <c r="A618" s="4" t="s">
        <v>1276</v>
      </c>
      <c r="B618" s="4" t="s">
        <v>1145</v>
      </c>
      <c r="C618" s="4" t="s">
        <v>1277</v>
      </c>
      <c r="D618" s="4" t="s">
        <v>32</v>
      </c>
      <c r="E618" s="4" t="s">
        <v>67</v>
      </c>
      <c r="F618" s="4" t="s">
        <v>1147</v>
      </c>
      <c r="G618" s="4">
        <v>25</v>
      </c>
      <c r="H618" s="4">
        <v>210</v>
      </c>
      <c r="I618" s="4">
        <v>2667767</v>
      </c>
      <c r="J618" s="4">
        <v>12</v>
      </c>
      <c r="K618" s="4">
        <v>17.5</v>
      </c>
      <c r="L618" s="4">
        <v>222313.91666666701</v>
      </c>
      <c r="M618" s="4">
        <v>12703.652380952401</v>
      </c>
      <c r="N618" s="4" t="s">
        <v>68</v>
      </c>
      <c r="O618" s="4">
        <v>0.40093269014872701</v>
      </c>
      <c r="P618" s="4">
        <v>0.25124422020397902</v>
      </c>
    </row>
    <row r="619" spans="1:16">
      <c r="A619" s="4" t="s">
        <v>1278</v>
      </c>
      <c r="B619" s="4" t="s">
        <v>1145</v>
      </c>
      <c r="C619" s="4" t="s">
        <v>1279</v>
      </c>
      <c r="D619" s="4" t="s">
        <v>32</v>
      </c>
      <c r="E619" s="4" t="s">
        <v>67</v>
      </c>
      <c r="F619" s="4" t="s">
        <v>1147</v>
      </c>
      <c r="G619" s="4">
        <v>25</v>
      </c>
      <c r="H619" s="4">
        <v>209</v>
      </c>
      <c r="I619" s="4">
        <v>2652079</v>
      </c>
      <c r="J619" s="4">
        <v>12</v>
      </c>
      <c r="K619" s="4">
        <v>17.4166666666667</v>
      </c>
      <c r="L619" s="4">
        <v>221006.58333333299</v>
      </c>
      <c r="M619" s="4">
        <v>12689.3732057416</v>
      </c>
      <c r="N619" s="4" t="s">
        <v>51</v>
      </c>
      <c r="O619" s="4">
        <v>0.32598915793986499</v>
      </c>
      <c r="P619" s="4">
        <v>0.21877892144081099</v>
      </c>
    </row>
    <row r="620" spans="1:16">
      <c r="A620" s="4" t="s">
        <v>1280</v>
      </c>
      <c r="B620" s="4" t="s">
        <v>1145</v>
      </c>
      <c r="C620" s="4" t="s">
        <v>1281</v>
      </c>
      <c r="D620" s="4" t="s">
        <v>32</v>
      </c>
      <c r="E620" s="4" t="s">
        <v>67</v>
      </c>
      <c r="F620" s="4" t="s">
        <v>1147</v>
      </c>
      <c r="G620" s="4">
        <v>25</v>
      </c>
      <c r="H620" s="4">
        <v>162</v>
      </c>
      <c r="I620" s="4">
        <v>2631811</v>
      </c>
      <c r="J620" s="4">
        <v>12</v>
      </c>
      <c r="K620" s="4">
        <v>13.5</v>
      </c>
      <c r="L620" s="4">
        <v>219317.58333333299</v>
      </c>
      <c r="M620" s="4">
        <v>16245.7469135803</v>
      </c>
      <c r="N620" s="4" t="s">
        <v>68</v>
      </c>
      <c r="O620" s="4">
        <v>0.40968937359103702</v>
      </c>
      <c r="P620" s="4">
        <v>0.26617690111838299</v>
      </c>
    </row>
    <row r="621" spans="1:16">
      <c r="A621" s="4" t="s">
        <v>1282</v>
      </c>
      <c r="B621" s="4" t="s">
        <v>1145</v>
      </c>
      <c r="C621" s="4" t="s">
        <v>1283</v>
      </c>
      <c r="D621" s="4" t="s">
        <v>41</v>
      </c>
      <c r="E621" s="4" t="s">
        <v>42</v>
      </c>
      <c r="F621" s="4" t="s">
        <v>1147</v>
      </c>
      <c r="G621" s="4">
        <v>25</v>
      </c>
      <c r="H621" s="4">
        <v>180</v>
      </c>
      <c r="I621" s="4">
        <v>2627854</v>
      </c>
      <c r="J621" s="4">
        <v>12</v>
      </c>
      <c r="K621" s="4">
        <v>15</v>
      </c>
      <c r="L621" s="4">
        <v>218987.83333333299</v>
      </c>
      <c r="M621" s="4">
        <v>14599.188888888901</v>
      </c>
      <c r="N621" s="4" t="s">
        <v>38</v>
      </c>
      <c r="O621" s="4">
        <v>0.283592619681307</v>
      </c>
      <c r="P621" s="4">
        <v>0.20635450627983601</v>
      </c>
    </row>
    <row r="622" spans="1:16">
      <c r="A622" s="4" t="s">
        <v>1284</v>
      </c>
      <c r="B622" s="4" t="s">
        <v>1145</v>
      </c>
      <c r="C622" s="4" t="s">
        <v>1285</v>
      </c>
      <c r="D622" s="4" t="s">
        <v>41</v>
      </c>
      <c r="E622" s="4" t="s">
        <v>50</v>
      </c>
      <c r="F622" s="4" t="s">
        <v>1147</v>
      </c>
      <c r="G622" s="4">
        <v>25</v>
      </c>
      <c r="H622" s="4">
        <v>226</v>
      </c>
      <c r="I622" s="4">
        <v>2624693</v>
      </c>
      <c r="J622" s="4">
        <v>12</v>
      </c>
      <c r="K622" s="4">
        <v>18.8333333333333</v>
      </c>
      <c r="L622" s="4">
        <v>218724.41666666701</v>
      </c>
      <c r="M622" s="4">
        <v>11613.685840708</v>
      </c>
      <c r="N622" s="4" t="s">
        <v>35</v>
      </c>
      <c r="O622" s="4">
        <v>0.33080364065435502</v>
      </c>
      <c r="P622" s="4">
        <v>0.224416128748193</v>
      </c>
    </row>
    <row r="623" spans="1:16">
      <c r="A623" s="4" t="s">
        <v>1286</v>
      </c>
      <c r="B623" s="4" t="s">
        <v>1145</v>
      </c>
      <c r="C623" s="4" t="s">
        <v>1287</v>
      </c>
      <c r="D623" s="4" t="s">
        <v>32</v>
      </c>
      <c r="E623" s="4" t="s">
        <v>33</v>
      </c>
      <c r="F623" s="4" t="s">
        <v>1147</v>
      </c>
      <c r="G623" s="4">
        <v>25</v>
      </c>
      <c r="H623" s="4">
        <v>189</v>
      </c>
      <c r="I623" s="4">
        <v>2620098</v>
      </c>
      <c r="J623" s="4">
        <v>12</v>
      </c>
      <c r="K623" s="4">
        <v>15.75</v>
      </c>
      <c r="L623" s="4">
        <v>218341.5</v>
      </c>
      <c r="M623" s="4">
        <v>13862.9523809524</v>
      </c>
      <c r="N623" s="4" t="s">
        <v>47</v>
      </c>
      <c r="O623" s="4">
        <v>0.30180855830583397</v>
      </c>
      <c r="P623" s="4">
        <v>0.195538497079283</v>
      </c>
    </row>
    <row r="624" spans="1:16">
      <c r="A624" s="4" t="s">
        <v>1288</v>
      </c>
      <c r="B624" s="4" t="s">
        <v>1145</v>
      </c>
      <c r="C624" s="4" t="s">
        <v>1289</v>
      </c>
      <c r="D624" s="4" t="s">
        <v>32</v>
      </c>
      <c r="E624" s="4" t="s">
        <v>67</v>
      </c>
      <c r="F624" s="4" t="s">
        <v>1147</v>
      </c>
      <c r="G624" s="4">
        <v>25</v>
      </c>
      <c r="H624" s="4">
        <v>195</v>
      </c>
      <c r="I624" s="4">
        <v>2606825</v>
      </c>
      <c r="J624" s="4">
        <v>12</v>
      </c>
      <c r="K624" s="4">
        <v>16.25</v>
      </c>
      <c r="L624" s="4">
        <v>217235.41666666701</v>
      </c>
      <c r="M624" s="4">
        <v>13368.333333333299</v>
      </c>
      <c r="N624" s="4" t="s">
        <v>54</v>
      </c>
      <c r="O624" s="4">
        <v>0.34772683244943597</v>
      </c>
      <c r="P624" s="4">
        <v>0.22107151607516301</v>
      </c>
    </row>
    <row r="625" spans="1:16">
      <c r="A625" s="4" t="s">
        <v>1290</v>
      </c>
      <c r="B625" s="4" t="s">
        <v>1145</v>
      </c>
      <c r="C625" s="4" t="s">
        <v>1291</v>
      </c>
      <c r="D625" s="4" t="s">
        <v>32</v>
      </c>
      <c r="E625" s="4" t="s">
        <v>33</v>
      </c>
      <c r="F625" s="4" t="s">
        <v>1147</v>
      </c>
      <c r="G625" s="4">
        <v>25</v>
      </c>
      <c r="H625" s="4">
        <v>191</v>
      </c>
      <c r="I625" s="4">
        <v>2596736</v>
      </c>
      <c r="J625" s="4">
        <v>12</v>
      </c>
      <c r="K625" s="4">
        <v>15.9166666666667</v>
      </c>
      <c r="L625" s="4">
        <v>216394.66666666701</v>
      </c>
      <c r="M625" s="4">
        <v>13595.4764397906</v>
      </c>
      <c r="N625" s="4" t="s">
        <v>47</v>
      </c>
      <c r="O625" s="4">
        <v>0.238066942500123</v>
      </c>
      <c r="P625" s="4">
        <v>0.18306377270051899</v>
      </c>
    </row>
    <row r="626" spans="1:16">
      <c r="A626" s="4" t="s">
        <v>1292</v>
      </c>
      <c r="B626" s="4" t="s">
        <v>1145</v>
      </c>
      <c r="C626" s="4" t="s">
        <v>1293</v>
      </c>
      <c r="D626" s="4" t="s">
        <v>41</v>
      </c>
      <c r="E626" s="4" t="s">
        <v>50</v>
      </c>
      <c r="F626" s="4" t="s">
        <v>1147</v>
      </c>
      <c r="G626" s="4">
        <v>25</v>
      </c>
      <c r="H626" s="4">
        <v>182</v>
      </c>
      <c r="I626" s="4">
        <v>2595109</v>
      </c>
      <c r="J626" s="4">
        <v>12</v>
      </c>
      <c r="K626" s="4">
        <v>15.1666666666667</v>
      </c>
      <c r="L626" s="4">
        <v>216259.08333333299</v>
      </c>
      <c r="M626" s="4">
        <v>14258.8406593407</v>
      </c>
      <c r="N626" s="4" t="s">
        <v>35</v>
      </c>
      <c r="O626" s="4">
        <v>0.27319353445269501</v>
      </c>
      <c r="P626" s="4">
        <v>0.201648863518123</v>
      </c>
    </row>
    <row r="627" spans="1:16">
      <c r="A627" s="4" t="s">
        <v>1294</v>
      </c>
      <c r="B627" s="4" t="s">
        <v>1145</v>
      </c>
      <c r="C627" s="4" t="s">
        <v>1295</v>
      </c>
      <c r="D627" s="4" t="s">
        <v>41</v>
      </c>
      <c r="E627" s="4" t="s">
        <v>42</v>
      </c>
      <c r="F627" s="4" t="s">
        <v>1147</v>
      </c>
      <c r="G627" s="4">
        <v>25</v>
      </c>
      <c r="H627" s="4">
        <v>205</v>
      </c>
      <c r="I627" s="4">
        <v>2559759</v>
      </c>
      <c r="J627" s="4">
        <v>12</v>
      </c>
      <c r="K627" s="4">
        <v>17.0833333333333</v>
      </c>
      <c r="L627" s="4">
        <v>213313.25</v>
      </c>
      <c r="M627" s="4">
        <v>12486.6292682927</v>
      </c>
      <c r="N627" s="4" t="s">
        <v>68</v>
      </c>
      <c r="O627" s="4">
        <v>0.27756714596960103</v>
      </c>
      <c r="P627" s="4">
        <v>0.21007668230672699</v>
      </c>
    </row>
    <row r="628" spans="1:16">
      <c r="A628" s="4" t="s">
        <v>1296</v>
      </c>
      <c r="B628" s="4" t="s">
        <v>1145</v>
      </c>
      <c r="C628" s="4" t="s">
        <v>1297</v>
      </c>
      <c r="D628" s="4" t="s">
        <v>41</v>
      </c>
      <c r="E628" s="4" t="s">
        <v>42</v>
      </c>
      <c r="F628" s="4" t="s">
        <v>1147</v>
      </c>
      <c r="G628" s="4">
        <v>25</v>
      </c>
      <c r="H628" s="4">
        <v>200</v>
      </c>
      <c r="I628" s="4">
        <v>2547983</v>
      </c>
      <c r="J628" s="4">
        <v>12</v>
      </c>
      <c r="K628" s="4">
        <v>16.6666666666667</v>
      </c>
      <c r="L628" s="4">
        <v>212331.91666666701</v>
      </c>
      <c r="M628" s="4">
        <v>12739.915000000001</v>
      </c>
      <c r="N628" s="4" t="s">
        <v>35</v>
      </c>
      <c r="O628" s="4">
        <v>0.24114996057665999</v>
      </c>
      <c r="P628" s="4">
        <v>0.18848943075938701</v>
      </c>
    </row>
    <row r="629" spans="1:16">
      <c r="A629" s="4" t="s">
        <v>1298</v>
      </c>
      <c r="B629" s="4" t="s">
        <v>1145</v>
      </c>
      <c r="C629" s="4" t="s">
        <v>1299</v>
      </c>
      <c r="D629" s="4" t="s">
        <v>32</v>
      </c>
      <c r="E629" s="4" t="s">
        <v>67</v>
      </c>
      <c r="F629" s="4" t="s">
        <v>1147</v>
      </c>
      <c r="G629" s="4">
        <v>25</v>
      </c>
      <c r="H629" s="4">
        <v>213</v>
      </c>
      <c r="I629" s="4">
        <v>2530886</v>
      </c>
      <c r="J629" s="4">
        <v>12</v>
      </c>
      <c r="K629" s="4">
        <v>17.75</v>
      </c>
      <c r="L629" s="4">
        <v>210907.16666666701</v>
      </c>
      <c r="M629" s="4">
        <v>11882.093896713601</v>
      </c>
      <c r="N629" s="4" t="s">
        <v>54</v>
      </c>
      <c r="O629" s="4">
        <v>0.28048714955948201</v>
      </c>
      <c r="P629" s="4">
        <v>0.18882973786308399</v>
      </c>
    </row>
    <row r="630" spans="1:16">
      <c r="A630" s="4" t="s">
        <v>1300</v>
      </c>
      <c r="B630" s="4" t="s">
        <v>1145</v>
      </c>
      <c r="C630" s="4" t="s">
        <v>1301</v>
      </c>
      <c r="D630" s="4" t="s">
        <v>41</v>
      </c>
      <c r="E630" s="4" t="s">
        <v>42</v>
      </c>
      <c r="F630" s="4" t="s">
        <v>1147</v>
      </c>
      <c r="G630" s="4">
        <v>25</v>
      </c>
      <c r="H630" s="4">
        <v>194</v>
      </c>
      <c r="I630" s="4">
        <v>2521239</v>
      </c>
      <c r="J630" s="4">
        <v>12</v>
      </c>
      <c r="K630" s="4">
        <v>16.1666666666667</v>
      </c>
      <c r="L630" s="4">
        <v>210103.25</v>
      </c>
      <c r="M630" s="4">
        <v>12996.077319587601</v>
      </c>
      <c r="N630" s="4" t="s">
        <v>35</v>
      </c>
      <c r="O630" s="4">
        <v>0.32706895300286898</v>
      </c>
      <c r="P630" s="4">
        <v>0.20712037262473099</v>
      </c>
    </row>
    <row r="631" spans="1:16">
      <c r="A631" s="4" t="s">
        <v>1302</v>
      </c>
      <c r="B631" s="4" t="s">
        <v>1145</v>
      </c>
      <c r="C631" s="4" t="s">
        <v>1303</v>
      </c>
      <c r="D631" s="4" t="s">
        <v>41</v>
      </c>
      <c r="E631" s="4" t="s">
        <v>42</v>
      </c>
      <c r="F631" s="4" t="s">
        <v>1147</v>
      </c>
      <c r="G631" s="4">
        <v>25</v>
      </c>
      <c r="H631" s="4">
        <v>181</v>
      </c>
      <c r="I631" s="4">
        <v>2513717</v>
      </c>
      <c r="J631" s="4">
        <v>12</v>
      </c>
      <c r="K631" s="4">
        <v>15.0833333333333</v>
      </c>
      <c r="L631" s="4">
        <v>209476.41666666701</v>
      </c>
      <c r="M631" s="4">
        <v>13887.9392265193</v>
      </c>
      <c r="N631" s="4" t="s">
        <v>68</v>
      </c>
      <c r="O631" s="4">
        <v>0.21014020273563</v>
      </c>
      <c r="P631" s="4">
        <v>0.18049296241565199</v>
      </c>
    </row>
    <row r="632" spans="1:16">
      <c r="A632" s="4" t="s">
        <v>1304</v>
      </c>
      <c r="B632" s="4" t="s">
        <v>1145</v>
      </c>
      <c r="C632" s="4" t="s">
        <v>1305</v>
      </c>
      <c r="D632" s="4" t="s">
        <v>41</v>
      </c>
      <c r="E632" s="4" t="s">
        <v>50</v>
      </c>
      <c r="F632" s="4" t="s">
        <v>1147</v>
      </c>
      <c r="G632" s="4">
        <v>25</v>
      </c>
      <c r="H632" s="4">
        <v>207</v>
      </c>
      <c r="I632" s="4">
        <v>2456080</v>
      </c>
      <c r="J632" s="4">
        <v>12</v>
      </c>
      <c r="K632" s="4">
        <v>17.25</v>
      </c>
      <c r="L632" s="4">
        <v>204673.33333333299</v>
      </c>
      <c r="M632" s="4">
        <v>11865.120772946901</v>
      </c>
      <c r="N632" s="4" t="s">
        <v>47</v>
      </c>
      <c r="O632" s="4">
        <v>0.26452151395720003</v>
      </c>
      <c r="P632" s="4">
        <v>0.20037705971651601</v>
      </c>
    </row>
    <row r="633" spans="1:16">
      <c r="A633" s="4" t="s">
        <v>1306</v>
      </c>
      <c r="B633" s="4" t="s">
        <v>1145</v>
      </c>
      <c r="C633" s="4" t="s">
        <v>1307</v>
      </c>
      <c r="D633" s="4" t="s">
        <v>32</v>
      </c>
      <c r="E633" s="4" t="s">
        <v>67</v>
      </c>
      <c r="F633" s="4" t="s">
        <v>1147</v>
      </c>
      <c r="G633" s="4">
        <v>25</v>
      </c>
      <c r="H633" s="4">
        <v>197</v>
      </c>
      <c r="I633" s="4">
        <v>2448488</v>
      </c>
      <c r="J633" s="4">
        <v>12</v>
      </c>
      <c r="K633" s="4">
        <v>16.4166666666667</v>
      </c>
      <c r="L633" s="4">
        <v>204040.66666666701</v>
      </c>
      <c r="M633" s="4">
        <v>12428.873096446699</v>
      </c>
      <c r="N633" s="4" t="s">
        <v>35</v>
      </c>
      <c r="O633" s="4">
        <v>0.23796685954760699</v>
      </c>
      <c r="P633" s="4">
        <v>0.17794061018557</v>
      </c>
    </row>
    <row r="634" spans="1:16">
      <c r="A634" s="4" t="s">
        <v>1308</v>
      </c>
      <c r="B634" s="4" t="s">
        <v>1145</v>
      </c>
      <c r="C634" s="4" t="s">
        <v>1309</v>
      </c>
      <c r="D634" s="4" t="s">
        <v>41</v>
      </c>
      <c r="E634" s="4" t="s">
        <v>42</v>
      </c>
      <c r="F634" s="4" t="s">
        <v>1147</v>
      </c>
      <c r="G634" s="4">
        <v>25</v>
      </c>
      <c r="H634" s="4">
        <v>189</v>
      </c>
      <c r="I634" s="4">
        <v>2423879</v>
      </c>
      <c r="J634" s="4">
        <v>12</v>
      </c>
      <c r="K634" s="4">
        <v>15.75</v>
      </c>
      <c r="L634" s="4">
        <v>201989.91666666701</v>
      </c>
      <c r="M634" s="4">
        <v>12824.756613756599</v>
      </c>
      <c r="N634" s="4" t="s">
        <v>54</v>
      </c>
      <c r="O634" s="4">
        <v>0.29563810734776802</v>
      </c>
      <c r="P634" s="4">
        <v>0.19662755877745799</v>
      </c>
    </row>
    <row r="635" spans="1:16">
      <c r="A635" s="4" t="s">
        <v>1310</v>
      </c>
      <c r="B635" s="4" t="s">
        <v>1145</v>
      </c>
      <c r="C635" s="4" t="s">
        <v>1311</v>
      </c>
      <c r="D635" s="4" t="s">
        <v>32</v>
      </c>
      <c r="E635" s="4" t="s">
        <v>33</v>
      </c>
      <c r="F635" s="4" t="s">
        <v>1147</v>
      </c>
      <c r="G635" s="4">
        <v>25</v>
      </c>
      <c r="H635" s="4">
        <v>220</v>
      </c>
      <c r="I635" s="4">
        <v>2413607</v>
      </c>
      <c r="J635" s="4">
        <v>12</v>
      </c>
      <c r="K635" s="4">
        <v>18.3333333333333</v>
      </c>
      <c r="L635" s="4">
        <v>201133.91666666701</v>
      </c>
      <c r="M635" s="4">
        <v>10970.940909090899</v>
      </c>
      <c r="N635" s="4" t="s">
        <v>54</v>
      </c>
      <c r="O635" s="4">
        <v>0.37337810173735803</v>
      </c>
      <c r="P635" s="4">
        <v>0.22451159230412601</v>
      </c>
    </row>
    <row r="636" spans="1:16">
      <c r="A636" s="4" t="s">
        <v>1312</v>
      </c>
      <c r="B636" s="4" t="s">
        <v>1145</v>
      </c>
      <c r="C636" s="4" t="s">
        <v>1313</v>
      </c>
      <c r="D636" s="4" t="s">
        <v>41</v>
      </c>
      <c r="E636" s="4" t="s">
        <v>50</v>
      </c>
      <c r="F636" s="4" t="s">
        <v>1147</v>
      </c>
      <c r="G636" s="4">
        <v>25</v>
      </c>
      <c r="H636" s="4">
        <v>199</v>
      </c>
      <c r="I636" s="4">
        <v>2399758</v>
      </c>
      <c r="J636" s="4">
        <v>12</v>
      </c>
      <c r="K636" s="4">
        <v>16.5833333333333</v>
      </c>
      <c r="L636" s="4">
        <v>199979.83333333299</v>
      </c>
      <c r="M636" s="4">
        <v>12059.0854271357</v>
      </c>
      <c r="N636" s="4" t="s">
        <v>68</v>
      </c>
      <c r="O636" s="4">
        <v>0.37052111087868</v>
      </c>
      <c r="P636" s="4">
        <v>0.22996797805476801</v>
      </c>
    </row>
    <row r="637" spans="1:16">
      <c r="A637" s="4" t="s">
        <v>1314</v>
      </c>
      <c r="B637" s="4" t="s">
        <v>1145</v>
      </c>
      <c r="C637" s="4" t="s">
        <v>1315</v>
      </c>
      <c r="D637" s="4" t="s">
        <v>41</v>
      </c>
      <c r="E637" s="4" t="s">
        <v>42</v>
      </c>
      <c r="F637" s="4" t="s">
        <v>1147</v>
      </c>
      <c r="G637" s="4">
        <v>25</v>
      </c>
      <c r="H637" s="4">
        <v>222</v>
      </c>
      <c r="I637" s="4">
        <v>2392035</v>
      </c>
      <c r="J637" s="4">
        <v>12</v>
      </c>
      <c r="K637" s="4">
        <v>18.5</v>
      </c>
      <c r="L637" s="4">
        <v>199336.25</v>
      </c>
      <c r="M637" s="4">
        <v>10774.932432432401</v>
      </c>
      <c r="N637" s="4" t="s">
        <v>68</v>
      </c>
      <c r="O637" s="4">
        <v>0.31232653368366298</v>
      </c>
      <c r="P637" s="4">
        <v>0.20511488468834299</v>
      </c>
    </row>
    <row r="638" spans="1:16">
      <c r="A638" s="4" t="s">
        <v>1316</v>
      </c>
      <c r="B638" s="4" t="s">
        <v>1145</v>
      </c>
      <c r="C638" s="4" t="s">
        <v>1317</v>
      </c>
      <c r="D638" s="4" t="s">
        <v>32</v>
      </c>
      <c r="E638" s="4" t="s">
        <v>67</v>
      </c>
      <c r="F638" s="4" t="s">
        <v>1147</v>
      </c>
      <c r="G638" s="4">
        <v>25</v>
      </c>
      <c r="H638" s="4">
        <v>193</v>
      </c>
      <c r="I638" s="4">
        <v>2384835</v>
      </c>
      <c r="J638" s="4">
        <v>12</v>
      </c>
      <c r="K638" s="4">
        <v>16.0833333333333</v>
      </c>
      <c r="L638" s="4">
        <v>198736.25</v>
      </c>
      <c r="M638" s="4">
        <v>12356.6580310881</v>
      </c>
      <c r="N638" s="4" t="s">
        <v>54</v>
      </c>
      <c r="O638" s="4">
        <v>0.36444743556682102</v>
      </c>
      <c r="P638" s="4">
        <v>0.28018839795181799</v>
      </c>
    </row>
    <row r="639" spans="1:16">
      <c r="A639" s="4" t="s">
        <v>1318</v>
      </c>
      <c r="B639" s="4" t="s">
        <v>1145</v>
      </c>
      <c r="C639" s="4" t="s">
        <v>1319</v>
      </c>
      <c r="D639" s="4" t="s">
        <v>32</v>
      </c>
      <c r="E639" s="4" t="s">
        <v>67</v>
      </c>
      <c r="F639" s="4" t="s">
        <v>1147</v>
      </c>
      <c r="G639" s="4">
        <v>25</v>
      </c>
      <c r="H639" s="4">
        <v>220</v>
      </c>
      <c r="I639" s="4">
        <v>2379629</v>
      </c>
      <c r="J639" s="4">
        <v>12</v>
      </c>
      <c r="K639" s="4">
        <v>18.3333333333333</v>
      </c>
      <c r="L639" s="4">
        <v>198302.41666666701</v>
      </c>
      <c r="M639" s="4">
        <v>10816.4954545455</v>
      </c>
      <c r="N639" s="4" t="s">
        <v>51</v>
      </c>
      <c r="O639" s="4">
        <v>0.33367596377418501</v>
      </c>
      <c r="P639" s="4">
        <v>0.213976524609925</v>
      </c>
    </row>
    <row r="640" spans="1:16">
      <c r="A640" s="4" t="s">
        <v>1320</v>
      </c>
      <c r="B640" s="4" t="s">
        <v>1145</v>
      </c>
      <c r="C640" s="4" t="s">
        <v>1321</v>
      </c>
      <c r="D640" s="4" t="s">
        <v>32</v>
      </c>
      <c r="E640" s="4" t="s">
        <v>33</v>
      </c>
      <c r="F640" s="4" t="s">
        <v>1147</v>
      </c>
      <c r="G640" s="4">
        <v>25</v>
      </c>
      <c r="H640" s="4">
        <v>210</v>
      </c>
      <c r="I640" s="4">
        <v>2377130</v>
      </c>
      <c r="J640" s="4">
        <v>12</v>
      </c>
      <c r="K640" s="4">
        <v>17.5</v>
      </c>
      <c r="L640" s="4">
        <v>198094.16666666701</v>
      </c>
      <c r="M640" s="4">
        <v>11319.666666666701</v>
      </c>
      <c r="N640" s="4" t="s">
        <v>35</v>
      </c>
      <c r="O640" s="4">
        <v>0.37160104832297802</v>
      </c>
      <c r="P640" s="4">
        <v>0.228837417763333</v>
      </c>
    </row>
    <row r="641" spans="1:16">
      <c r="A641" s="4" t="s">
        <v>1322</v>
      </c>
      <c r="B641" s="4" t="s">
        <v>1145</v>
      </c>
      <c r="C641" s="4" t="s">
        <v>1323</v>
      </c>
      <c r="D641" s="4" t="s">
        <v>32</v>
      </c>
      <c r="E641" s="4" t="s">
        <v>67</v>
      </c>
      <c r="F641" s="4" t="s">
        <v>1147</v>
      </c>
      <c r="G641" s="4">
        <v>25</v>
      </c>
      <c r="H641" s="4">
        <v>200</v>
      </c>
      <c r="I641" s="4">
        <v>2348617</v>
      </c>
      <c r="J641" s="4">
        <v>12</v>
      </c>
      <c r="K641" s="4">
        <v>16.6666666666667</v>
      </c>
      <c r="L641" s="4">
        <v>195718.08333333299</v>
      </c>
      <c r="M641" s="4">
        <v>11743.084999999999</v>
      </c>
      <c r="N641" s="4" t="s">
        <v>68</v>
      </c>
      <c r="O641" s="4">
        <v>0.412588770327388</v>
      </c>
      <c r="P641" s="4">
        <v>0.24633743686799101</v>
      </c>
    </row>
    <row r="642" spans="1:16">
      <c r="A642" s="4" t="s">
        <v>1324</v>
      </c>
      <c r="B642" s="4" t="s">
        <v>1145</v>
      </c>
      <c r="C642" s="4" t="s">
        <v>1325</v>
      </c>
      <c r="D642" s="4" t="s">
        <v>32</v>
      </c>
      <c r="E642" s="4" t="s">
        <v>67</v>
      </c>
      <c r="F642" s="4" t="s">
        <v>1147</v>
      </c>
      <c r="G642" s="4">
        <v>25</v>
      </c>
      <c r="H642" s="4">
        <v>186</v>
      </c>
      <c r="I642" s="4">
        <v>2345679</v>
      </c>
      <c r="J642" s="4">
        <v>12</v>
      </c>
      <c r="K642" s="4">
        <v>15.5</v>
      </c>
      <c r="L642" s="4">
        <v>195473.25</v>
      </c>
      <c r="M642" s="4">
        <v>12611.177419354801</v>
      </c>
      <c r="N642" s="4" t="s">
        <v>35</v>
      </c>
      <c r="O642" s="4">
        <v>0.37338314407043799</v>
      </c>
      <c r="P642" s="4">
        <v>0.23199477370317301</v>
      </c>
    </row>
    <row r="643" spans="1:16">
      <c r="A643" s="4" t="s">
        <v>1326</v>
      </c>
      <c r="B643" s="4" t="s">
        <v>1145</v>
      </c>
      <c r="C643" s="4" t="s">
        <v>1327</v>
      </c>
      <c r="D643" s="4" t="s">
        <v>32</v>
      </c>
      <c r="E643" s="4" t="s">
        <v>33</v>
      </c>
      <c r="F643" s="4" t="s">
        <v>1147</v>
      </c>
      <c r="G643" s="4">
        <v>25</v>
      </c>
      <c r="H643" s="4">
        <v>185</v>
      </c>
      <c r="I643" s="4">
        <v>2336644</v>
      </c>
      <c r="J643" s="4">
        <v>12</v>
      </c>
      <c r="K643" s="4">
        <v>15.4166666666667</v>
      </c>
      <c r="L643" s="4">
        <v>194720.33333333299</v>
      </c>
      <c r="M643" s="4">
        <v>12630.508108108101</v>
      </c>
      <c r="N643" s="4" t="s">
        <v>35</v>
      </c>
      <c r="O643" s="4">
        <v>0.40807970747790401</v>
      </c>
      <c r="P643" s="4">
        <v>0.245569014383162</v>
      </c>
    </row>
    <row r="644" spans="1:16">
      <c r="A644" s="4" t="s">
        <v>1328</v>
      </c>
      <c r="B644" s="4" t="s">
        <v>1145</v>
      </c>
      <c r="C644" s="4" t="s">
        <v>1329</v>
      </c>
      <c r="D644" s="4" t="s">
        <v>32</v>
      </c>
      <c r="E644" s="4" t="s">
        <v>67</v>
      </c>
      <c r="F644" s="4" t="s">
        <v>1147</v>
      </c>
      <c r="G644" s="4">
        <v>25</v>
      </c>
      <c r="H644" s="4">
        <v>205</v>
      </c>
      <c r="I644" s="4">
        <v>2324731</v>
      </c>
      <c r="J644" s="4">
        <v>12</v>
      </c>
      <c r="K644" s="4">
        <v>17.0833333333333</v>
      </c>
      <c r="L644" s="4">
        <v>193727.58333333299</v>
      </c>
      <c r="M644" s="4">
        <v>11340.1512195122</v>
      </c>
      <c r="N644" s="4" t="s">
        <v>54</v>
      </c>
      <c r="O644" s="4">
        <v>0.30397710530809802</v>
      </c>
      <c r="P644" s="4">
        <v>0.20808071933029901</v>
      </c>
    </row>
    <row r="645" spans="1:16">
      <c r="A645" s="4" t="s">
        <v>1330</v>
      </c>
      <c r="B645" s="4" t="s">
        <v>1145</v>
      </c>
      <c r="C645" s="4" t="s">
        <v>1331</v>
      </c>
      <c r="D645" s="4" t="s">
        <v>32</v>
      </c>
      <c r="E645" s="4" t="s">
        <v>67</v>
      </c>
      <c r="F645" s="4" t="s">
        <v>1147</v>
      </c>
      <c r="G645" s="4">
        <v>25</v>
      </c>
      <c r="H645" s="4">
        <v>216</v>
      </c>
      <c r="I645" s="4">
        <v>2311818</v>
      </c>
      <c r="J645" s="4">
        <v>12</v>
      </c>
      <c r="K645" s="4">
        <v>18</v>
      </c>
      <c r="L645" s="4">
        <v>192651.5</v>
      </c>
      <c r="M645" s="4">
        <v>10702.8611111111</v>
      </c>
      <c r="N645" s="4" t="s">
        <v>54</v>
      </c>
      <c r="O645" s="4">
        <v>0.30598429461142701</v>
      </c>
      <c r="P645" s="4">
        <v>0.21915621702287399</v>
      </c>
    </row>
    <row r="646" spans="1:16">
      <c r="A646" s="4" t="s">
        <v>1332</v>
      </c>
      <c r="B646" s="4" t="s">
        <v>1145</v>
      </c>
      <c r="C646" s="4" t="s">
        <v>1333</v>
      </c>
      <c r="D646" s="4" t="s">
        <v>41</v>
      </c>
      <c r="E646" s="4" t="s">
        <v>50</v>
      </c>
      <c r="F646" s="4" t="s">
        <v>1147</v>
      </c>
      <c r="G646" s="4">
        <v>25</v>
      </c>
      <c r="H646" s="4">
        <v>204</v>
      </c>
      <c r="I646" s="4">
        <v>2271736</v>
      </c>
      <c r="J646" s="4">
        <v>12</v>
      </c>
      <c r="K646" s="4">
        <v>17</v>
      </c>
      <c r="L646" s="4">
        <v>189311.33333333299</v>
      </c>
      <c r="M646" s="4">
        <v>11135.9607843137</v>
      </c>
      <c r="N646" s="4" t="s">
        <v>68</v>
      </c>
      <c r="O646" s="4">
        <v>0.30178990868657302</v>
      </c>
      <c r="P646" s="4">
        <v>0.200577366347991</v>
      </c>
    </row>
    <row r="647" spans="1:16">
      <c r="A647" s="4" t="s">
        <v>1334</v>
      </c>
      <c r="B647" s="4" t="s">
        <v>1145</v>
      </c>
      <c r="C647" s="4" t="s">
        <v>1335</v>
      </c>
      <c r="D647" s="4" t="s">
        <v>32</v>
      </c>
      <c r="E647" s="4" t="s">
        <v>33</v>
      </c>
      <c r="F647" s="4" t="s">
        <v>1147</v>
      </c>
      <c r="G647" s="4">
        <v>25</v>
      </c>
      <c r="H647" s="4">
        <v>206</v>
      </c>
      <c r="I647" s="4">
        <v>2270513</v>
      </c>
      <c r="J647" s="4">
        <v>12</v>
      </c>
      <c r="K647" s="4">
        <v>17.1666666666667</v>
      </c>
      <c r="L647" s="4">
        <v>189209.41666666701</v>
      </c>
      <c r="M647" s="4">
        <v>11021.9077669903</v>
      </c>
      <c r="N647" s="4" t="s">
        <v>54</v>
      </c>
      <c r="O647" s="4">
        <v>0.276241096175182</v>
      </c>
      <c r="P647" s="4">
        <v>0.20067331758037099</v>
      </c>
    </row>
    <row r="648" spans="1:16">
      <c r="A648" s="4" t="s">
        <v>1336</v>
      </c>
      <c r="B648" s="4" t="s">
        <v>1145</v>
      </c>
      <c r="C648" s="4" t="s">
        <v>1337</v>
      </c>
      <c r="D648" s="4" t="s">
        <v>41</v>
      </c>
      <c r="E648" s="4" t="s">
        <v>42</v>
      </c>
      <c r="F648" s="4" t="s">
        <v>1147</v>
      </c>
      <c r="G648" s="4">
        <v>25</v>
      </c>
      <c r="H648" s="4">
        <v>199</v>
      </c>
      <c r="I648" s="4">
        <v>2262808</v>
      </c>
      <c r="J648" s="4">
        <v>12</v>
      </c>
      <c r="K648" s="4">
        <v>16.5833333333333</v>
      </c>
      <c r="L648" s="4">
        <v>188567.33333333299</v>
      </c>
      <c r="M648" s="4">
        <v>11370.894472361801</v>
      </c>
      <c r="N648" s="4" t="s">
        <v>54</v>
      </c>
      <c r="O648" s="4">
        <v>0.38096692251397402</v>
      </c>
      <c r="P648" s="4">
        <v>0.23243371761422099</v>
      </c>
    </row>
    <row r="649" spans="1:16">
      <c r="A649" s="4" t="s">
        <v>1338</v>
      </c>
      <c r="B649" s="4" t="s">
        <v>1145</v>
      </c>
      <c r="C649" s="4" t="s">
        <v>1339</v>
      </c>
      <c r="D649" s="4" t="s">
        <v>32</v>
      </c>
      <c r="E649" s="4" t="s">
        <v>33</v>
      </c>
      <c r="F649" s="4" t="s">
        <v>1147</v>
      </c>
      <c r="G649" s="4">
        <v>25</v>
      </c>
      <c r="H649" s="4">
        <v>191</v>
      </c>
      <c r="I649" s="4">
        <v>2260025</v>
      </c>
      <c r="J649" s="4">
        <v>12</v>
      </c>
      <c r="K649" s="4">
        <v>15.9166666666667</v>
      </c>
      <c r="L649" s="4">
        <v>188335.41666666701</v>
      </c>
      <c r="M649" s="4">
        <v>11832.5916230367</v>
      </c>
      <c r="N649" s="4" t="s">
        <v>47</v>
      </c>
      <c r="O649" s="4">
        <v>0.31222928949901002</v>
      </c>
      <c r="P649" s="4">
        <v>0.20054779151680199</v>
      </c>
    </row>
    <row r="650" spans="1:16">
      <c r="A650" s="4" t="s">
        <v>1340</v>
      </c>
      <c r="B650" s="4" t="s">
        <v>1145</v>
      </c>
      <c r="C650" s="4" t="s">
        <v>1341</v>
      </c>
      <c r="D650" s="4" t="s">
        <v>32</v>
      </c>
      <c r="E650" s="4" t="s">
        <v>67</v>
      </c>
      <c r="F650" s="4" t="s">
        <v>1147</v>
      </c>
      <c r="G650" s="4">
        <v>25</v>
      </c>
      <c r="H650" s="4">
        <v>190</v>
      </c>
      <c r="I650" s="4">
        <v>2243375</v>
      </c>
      <c r="J650" s="4">
        <v>12</v>
      </c>
      <c r="K650" s="4">
        <v>15.8333333333333</v>
      </c>
      <c r="L650" s="4">
        <v>186947.91666666701</v>
      </c>
      <c r="M650" s="4">
        <v>11807.2368421053</v>
      </c>
      <c r="N650" s="4" t="s">
        <v>38</v>
      </c>
      <c r="O650" s="4">
        <v>0.25251908396946599</v>
      </c>
      <c r="P650" s="4">
        <v>0.19022601471327699</v>
      </c>
    </row>
    <row r="651" spans="1:16">
      <c r="A651" s="4" t="s">
        <v>1342</v>
      </c>
      <c r="B651" s="4" t="s">
        <v>1145</v>
      </c>
      <c r="C651" s="4" t="s">
        <v>1343</v>
      </c>
      <c r="D651" s="4" t="s">
        <v>41</v>
      </c>
      <c r="E651" s="4" t="s">
        <v>50</v>
      </c>
      <c r="F651" s="4" t="s">
        <v>1147</v>
      </c>
      <c r="G651" s="4">
        <v>25</v>
      </c>
      <c r="H651" s="4">
        <v>191</v>
      </c>
      <c r="I651" s="4">
        <v>2232664</v>
      </c>
      <c r="J651" s="4">
        <v>12</v>
      </c>
      <c r="K651" s="4">
        <v>15.9166666666667</v>
      </c>
      <c r="L651" s="4">
        <v>186055.33333333299</v>
      </c>
      <c r="M651" s="4">
        <v>11689.3403141361</v>
      </c>
      <c r="N651" s="4" t="s">
        <v>54</v>
      </c>
      <c r="O651" s="4">
        <v>0.39496628243210802</v>
      </c>
      <c r="P651" s="4">
        <v>0.23639730558154801</v>
      </c>
    </row>
    <row r="652" spans="1:16">
      <c r="A652" s="4" t="s">
        <v>1344</v>
      </c>
      <c r="B652" s="4" t="s">
        <v>1145</v>
      </c>
      <c r="C652" s="4" t="s">
        <v>1345</v>
      </c>
      <c r="D652" s="4" t="s">
        <v>32</v>
      </c>
      <c r="E652" s="4" t="s">
        <v>67</v>
      </c>
      <c r="F652" s="4" t="s">
        <v>1147</v>
      </c>
      <c r="G652" s="4">
        <v>25</v>
      </c>
      <c r="H652" s="4">
        <v>222</v>
      </c>
      <c r="I652" s="4">
        <v>2228898</v>
      </c>
      <c r="J652" s="4">
        <v>12</v>
      </c>
      <c r="K652" s="4">
        <v>18.5</v>
      </c>
      <c r="L652" s="4">
        <v>185741.5</v>
      </c>
      <c r="M652" s="4">
        <v>10040.0810810811</v>
      </c>
      <c r="N652" s="4" t="s">
        <v>35</v>
      </c>
      <c r="O652" s="4">
        <v>0.24551056172153199</v>
      </c>
      <c r="P652" s="4">
        <v>0.184149957034001</v>
      </c>
    </row>
    <row r="653" spans="1:16">
      <c r="A653" s="4" t="s">
        <v>1346</v>
      </c>
      <c r="B653" s="4" t="s">
        <v>1145</v>
      </c>
      <c r="C653" s="4" t="s">
        <v>1347</v>
      </c>
      <c r="D653" s="4" t="s">
        <v>41</v>
      </c>
      <c r="E653" s="4" t="s">
        <v>42</v>
      </c>
      <c r="F653" s="4" t="s">
        <v>1147</v>
      </c>
      <c r="G653" s="4">
        <v>25</v>
      </c>
      <c r="H653" s="4">
        <v>210</v>
      </c>
      <c r="I653" s="4">
        <v>2225392</v>
      </c>
      <c r="J653" s="4">
        <v>12</v>
      </c>
      <c r="K653" s="4">
        <v>17.5</v>
      </c>
      <c r="L653" s="4">
        <v>185449.33333333299</v>
      </c>
      <c r="M653" s="4">
        <v>10597.1047619048</v>
      </c>
      <c r="N653" s="4" t="s">
        <v>54</v>
      </c>
      <c r="O653" s="4">
        <v>0.21199635839438599</v>
      </c>
      <c r="P653" s="4">
        <v>0.177880673505523</v>
      </c>
    </row>
    <row r="654" spans="1:16">
      <c r="A654" s="4" t="s">
        <v>1348</v>
      </c>
      <c r="B654" s="4" t="s">
        <v>1145</v>
      </c>
      <c r="C654" s="4" t="s">
        <v>1349</v>
      </c>
      <c r="D654" s="4" t="s">
        <v>41</v>
      </c>
      <c r="E654" s="4" t="s">
        <v>42</v>
      </c>
      <c r="F654" s="4" t="s">
        <v>1147</v>
      </c>
      <c r="G654" s="4">
        <v>25</v>
      </c>
      <c r="H654" s="4">
        <v>211</v>
      </c>
      <c r="I654" s="4">
        <v>2195889</v>
      </c>
      <c r="J654" s="4">
        <v>12</v>
      </c>
      <c r="K654" s="4">
        <v>17.5833333333333</v>
      </c>
      <c r="L654" s="4">
        <v>182990.75</v>
      </c>
      <c r="M654" s="4">
        <v>10407.0568720379</v>
      </c>
      <c r="N654" s="4" t="s">
        <v>38</v>
      </c>
      <c r="O654" s="4">
        <v>0.29342193526175497</v>
      </c>
      <c r="P654" s="4">
        <v>0.200566104776257</v>
      </c>
    </row>
    <row r="655" spans="1:16">
      <c r="A655" s="4" t="s">
        <v>1350</v>
      </c>
      <c r="B655" s="4" t="s">
        <v>1145</v>
      </c>
      <c r="C655" s="4" t="s">
        <v>1351</v>
      </c>
      <c r="D655" s="4" t="s">
        <v>32</v>
      </c>
      <c r="E655" s="4" t="s">
        <v>33</v>
      </c>
      <c r="F655" s="4" t="s">
        <v>1147</v>
      </c>
      <c r="G655" s="4">
        <v>25</v>
      </c>
      <c r="H655" s="4">
        <v>200</v>
      </c>
      <c r="I655" s="4">
        <v>2105639</v>
      </c>
      <c r="J655" s="4">
        <v>12</v>
      </c>
      <c r="K655" s="4">
        <v>16.6666666666667</v>
      </c>
      <c r="L655" s="4">
        <v>175469.91666666701</v>
      </c>
      <c r="M655" s="4">
        <v>10528.195</v>
      </c>
      <c r="N655" s="4" t="s">
        <v>38</v>
      </c>
      <c r="O655" s="4">
        <v>0.278354456770605</v>
      </c>
      <c r="P655" s="4">
        <v>0.201918331390498</v>
      </c>
    </row>
    <row r="656" spans="1:16">
      <c r="A656" s="4" t="s">
        <v>1352</v>
      </c>
      <c r="B656" s="4" t="s">
        <v>1145</v>
      </c>
      <c r="C656" s="4" t="s">
        <v>1353</v>
      </c>
      <c r="D656" s="4" t="s">
        <v>32</v>
      </c>
      <c r="E656" s="4" t="s">
        <v>33</v>
      </c>
      <c r="F656" s="4" t="s">
        <v>1147</v>
      </c>
      <c r="G656" s="4">
        <v>25</v>
      </c>
      <c r="H656" s="4">
        <v>192</v>
      </c>
      <c r="I656" s="4">
        <v>2101036</v>
      </c>
      <c r="J656" s="4">
        <v>12</v>
      </c>
      <c r="K656" s="4">
        <v>16</v>
      </c>
      <c r="L656" s="4">
        <v>175086.33333333299</v>
      </c>
      <c r="M656" s="4">
        <v>10942.895833333299</v>
      </c>
      <c r="N656" s="4" t="s">
        <v>54</v>
      </c>
      <c r="O656" s="4">
        <v>0.24293681783653401</v>
      </c>
      <c r="P656" s="4">
        <v>0.175707408198501</v>
      </c>
    </row>
    <row r="657" spans="1:16">
      <c r="A657" s="4" t="s">
        <v>1354</v>
      </c>
      <c r="B657" s="4" t="s">
        <v>1145</v>
      </c>
      <c r="C657" s="4" t="s">
        <v>1355</v>
      </c>
      <c r="D657" s="4" t="s">
        <v>32</v>
      </c>
      <c r="E657" s="4" t="s">
        <v>33</v>
      </c>
      <c r="F657" s="4" t="s">
        <v>1147</v>
      </c>
      <c r="G657" s="4">
        <v>25</v>
      </c>
      <c r="H657" s="4">
        <v>192</v>
      </c>
      <c r="I657" s="4">
        <v>2095542</v>
      </c>
      <c r="J657" s="4">
        <v>12</v>
      </c>
      <c r="K657" s="4">
        <v>16</v>
      </c>
      <c r="L657" s="4">
        <v>174628.5</v>
      </c>
      <c r="M657" s="4">
        <v>10914.28125</v>
      </c>
      <c r="N657" s="4" t="s">
        <v>68</v>
      </c>
      <c r="O657" s="4">
        <v>0.26266808300668798</v>
      </c>
      <c r="P657" s="4">
        <v>0.20126516072814099</v>
      </c>
    </row>
    <row r="658" spans="1:16">
      <c r="A658" s="4" t="s">
        <v>1356</v>
      </c>
      <c r="B658" s="4" t="s">
        <v>1145</v>
      </c>
      <c r="C658" s="4" t="s">
        <v>1357</v>
      </c>
      <c r="D658" s="4" t="s">
        <v>32</v>
      </c>
      <c r="E658" s="4" t="s">
        <v>33</v>
      </c>
      <c r="F658" s="4" t="s">
        <v>1147</v>
      </c>
      <c r="G658" s="4">
        <v>25</v>
      </c>
      <c r="H658" s="4">
        <v>223</v>
      </c>
      <c r="I658" s="4">
        <v>2079222</v>
      </c>
      <c r="J658" s="4">
        <v>12</v>
      </c>
      <c r="K658" s="4">
        <v>18.5833333333333</v>
      </c>
      <c r="L658" s="4">
        <v>173268.5</v>
      </c>
      <c r="M658" s="4">
        <v>9323.8654708520207</v>
      </c>
      <c r="N658" s="4" t="s">
        <v>54</v>
      </c>
      <c r="O658" s="4">
        <v>0.28381962099285202</v>
      </c>
      <c r="P658" s="4">
        <v>0.18542804856693701</v>
      </c>
    </row>
    <row r="659" spans="1:16">
      <c r="A659" s="4" t="s">
        <v>1358</v>
      </c>
      <c r="B659" s="4" t="s">
        <v>1145</v>
      </c>
      <c r="C659" s="4" t="s">
        <v>1359</v>
      </c>
      <c r="D659" s="4" t="s">
        <v>32</v>
      </c>
      <c r="E659" s="4" t="s">
        <v>67</v>
      </c>
      <c r="F659" s="4" t="s">
        <v>1147</v>
      </c>
      <c r="G659" s="4">
        <v>25</v>
      </c>
      <c r="H659" s="4">
        <v>210</v>
      </c>
      <c r="I659" s="4">
        <v>2047523</v>
      </c>
      <c r="J659" s="4">
        <v>12</v>
      </c>
      <c r="K659" s="4">
        <v>17.5</v>
      </c>
      <c r="L659" s="4">
        <v>170626.91666666701</v>
      </c>
      <c r="M659" s="4">
        <v>9750.1095238095204</v>
      </c>
      <c r="N659" s="4" t="s">
        <v>47</v>
      </c>
      <c r="O659" s="4">
        <v>0.393270795981291</v>
      </c>
      <c r="P659" s="4">
        <v>0.238367306584404</v>
      </c>
    </row>
    <row r="660" spans="1:16">
      <c r="A660" s="4" t="s">
        <v>1360</v>
      </c>
      <c r="B660" s="4" t="s">
        <v>1145</v>
      </c>
      <c r="C660" s="4" t="s">
        <v>1361</v>
      </c>
      <c r="D660" s="4" t="s">
        <v>41</v>
      </c>
      <c r="E660" s="4" t="s">
        <v>42</v>
      </c>
      <c r="F660" s="4" t="s">
        <v>1147</v>
      </c>
      <c r="G660" s="4">
        <v>25</v>
      </c>
      <c r="H660" s="4">
        <v>183</v>
      </c>
      <c r="I660" s="4">
        <v>2021466</v>
      </c>
      <c r="J660" s="4">
        <v>12</v>
      </c>
      <c r="K660" s="4">
        <v>15.25</v>
      </c>
      <c r="L660" s="4">
        <v>168455.5</v>
      </c>
      <c r="M660" s="4">
        <v>11046.262295082</v>
      </c>
      <c r="N660" s="4" t="s">
        <v>54</v>
      </c>
      <c r="O660" s="4">
        <v>0.28750471192688898</v>
      </c>
      <c r="P660" s="4">
        <v>0.18947039004305699</v>
      </c>
    </row>
    <row r="661" spans="1:16">
      <c r="A661" s="4" t="s">
        <v>1362</v>
      </c>
      <c r="B661" s="4" t="s">
        <v>1145</v>
      </c>
      <c r="C661" s="4" t="s">
        <v>1363</v>
      </c>
      <c r="D661" s="4" t="s">
        <v>32</v>
      </c>
      <c r="E661" s="4" t="s">
        <v>67</v>
      </c>
      <c r="F661" s="4" t="s">
        <v>1147</v>
      </c>
      <c r="G661" s="4">
        <v>25</v>
      </c>
      <c r="H661" s="4">
        <v>214</v>
      </c>
      <c r="I661" s="4">
        <v>1997481</v>
      </c>
      <c r="J661" s="4">
        <v>12</v>
      </c>
      <c r="K661" s="4">
        <v>17.8333333333333</v>
      </c>
      <c r="L661" s="4">
        <v>166456.75</v>
      </c>
      <c r="M661" s="4">
        <v>9334.02336448598</v>
      </c>
      <c r="N661" s="4" t="s">
        <v>47</v>
      </c>
      <c r="O661" s="4">
        <v>0.222698488746576</v>
      </c>
      <c r="P661" s="4">
        <v>0.18112439161782301</v>
      </c>
    </row>
    <row r="662" spans="1:16">
      <c r="A662" s="4" t="s">
        <v>1364</v>
      </c>
      <c r="B662" s="4" t="s">
        <v>1145</v>
      </c>
      <c r="C662" s="4" t="s">
        <v>1365</v>
      </c>
      <c r="D662" s="4" t="s">
        <v>32</v>
      </c>
      <c r="E662" s="4" t="s">
        <v>33</v>
      </c>
      <c r="F662" s="4" t="s">
        <v>1147</v>
      </c>
      <c r="G662" s="4">
        <v>25</v>
      </c>
      <c r="H662" s="4">
        <v>185</v>
      </c>
      <c r="I662" s="4">
        <v>1993484</v>
      </c>
      <c r="J662" s="4">
        <v>12</v>
      </c>
      <c r="K662" s="4">
        <v>15.4166666666667</v>
      </c>
      <c r="L662" s="4">
        <v>166123.66666666701</v>
      </c>
      <c r="M662" s="4">
        <v>10775.589189189201</v>
      </c>
      <c r="N662" s="4" t="s">
        <v>35</v>
      </c>
      <c r="O662" s="4">
        <v>0.33840101049218402</v>
      </c>
      <c r="P662" s="4">
        <v>0.21292981844077499</v>
      </c>
    </row>
    <row r="663" spans="1:16">
      <c r="A663" s="4" t="s">
        <v>1366</v>
      </c>
      <c r="B663" s="4" t="s">
        <v>1145</v>
      </c>
      <c r="C663" s="4" t="s">
        <v>1367</v>
      </c>
      <c r="D663" s="4" t="s">
        <v>41</v>
      </c>
      <c r="E663" s="4" t="s">
        <v>42</v>
      </c>
      <c r="F663" s="4" t="s">
        <v>1147</v>
      </c>
      <c r="G663" s="4">
        <v>25</v>
      </c>
      <c r="H663" s="4">
        <v>197</v>
      </c>
      <c r="I663" s="4">
        <v>1948473</v>
      </c>
      <c r="J663" s="4">
        <v>12</v>
      </c>
      <c r="K663" s="4">
        <v>16.4166666666667</v>
      </c>
      <c r="L663" s="4">
        <v>162372.75</v>
      </c>
      <c r="M663" s="4">
        <v>9890.7258883248705</v>
      </c>
      <c r="N663" s="4" t="s">
        <v>47</v>
      </c>
      <c r="O663" s="4">
        <v>0.20480601989352701</v>
      </c>
      <c r="P663" s="4">
        <v>0.17804937409326699</v>
      </c>
    </row>
    <row r="664" spans="1:16">
      <c r="A664" s="4" t="s">
        <v>1368</v>
      </c>
      <c r="B664" s="4" t="s">
        <v>1145</v>
      </c>
      <c r="C664" s="4" t="s">
        <v>1369</v>
      </c>
      <c r="D664" s="4" t="s">
        <v>32</v>
      </c>
      <c r="E664" s="4" t="s">
        <v>67</v>
      </c>
      <c r="F664" s="4" t="s">
        <v>1147</v>
      </c>
      <c r="G664" s="4">
        <v>25</v>
      </c>
      <c r="H664" s="4">
        <v>164</v>
      </c>
      <c r="I664" s="4">
        <v>1796446</v>
      </c>
      <c r="J664" s="4">
        <v>12</v>
      </c>
      <c r="K664" s="4">
        <v>13.6666666666667</v>
      </c>
      <c r="L664" s="4">
        <v>149703.83333333299</v>
      </c>
      <c r="M664" s="4">
        <v>10953.9390243902</v>
      </c>
      <c r="N664" s="4" t="s">
        <v>68</v>
      </c>
      <c r="O664" s="4">
        <v>0.22721807390814999</v>
      </c>
      <c r="P664" s="4">
        <v>0.17693947772039101</v>
      </c>
    </row>
    <row r="665" spans="1:16">
      <c r="A665" s="4" t="s">
        <v>1370</v>
      </c>
      <c r="B665" s="4" t="s">
        <v>1145</v>
      </c>
      <c r="C665" s="4" t="s">
        <v>1371</v>
      </c>
      <c r="D665" s="4" t="s">
        <v>41</v>
      </c>
      <c r="E665" s="4" t="s">
        <v>50</v>
      </c>
      <c r="F665" s="4" t="s">
        <v>1147</v>
      </c>
      <c r="G665" s="4">
        <v>25</v>
      </c>
      <c r="H665" s="4">
        <v>175</v>
      </c>
      <c r="I665" s="4">
        <v>1780951</v>
      </c>
      <c r="J665" s="4">
        <v>12</v>
      </c>
      <c r="K665" s="4">
        <v>14.5833333333333</v>
      </c>
      <c r="L665" s="4">
        <v>148412.58333333299</v>
      </c>
      <c r="M665" s="4">
        <v>10176.8628571429</v>
      </c>
      <c r="N665" s="4" t="s">
        <v>51</v>
      </c>
      <c r="O665" s="4">
        <v>0.323077389551987</v>
      </c>
      <c r="P665" s="4">
        <v>0.20859845740339</v>
      </c>
    </row>
    <row r="666" spans="1:16">
      <c r="A666" s="4" t="s">
        <v>1372</v>
      </c>
      <c r="B666" s="4" t="s">
        <v>1145</v>
      </c>
      <c r="C666" s="4" t="s">
        <v>1373</v>
      </c>
      <c r="D666" s="4" t="s">
        <v>32</v>
      </c>
      <c r="E666" s="4" t="s">
        <v>33</v>
      </c>
      <c r="F666" s="4" t="s">
        <v>1147</v>
      </c>
      <c r="G666" s="4">
        <v>25</v>
      </c>
      <c r="H666" s="4">
        <v>211</v>
      </c>
      <c r="I666" s="4">
        <v>1679772</v>
      </c>
      <c r="J666" s="4">
        <v>12</v>
      </c>
      <c r="K666" s="4">
        <v>17.5833333333333</v>
      </c>
      <c r="L666" s="4">
        <v>139981</v>
      </c>
      <c r="M666" s="4">
        <v>7961.0047393364903</v>
      </c>
      <c r="N666" s="4" t="s">
        <v>54</v>
      </c>
      <c r="O666" s="4">
        <v>0.25465301243263999</v>
      </c>
      <c r="P666" s="4">
        <v>0.18657005946020899</v>
      </c>
    </row>
    <row r="667" spans="1:16">
      <c r="A667" s="4" t="s">
        <v>1374</v>
      </c>
      <c r="B667" s="4" t="s">
        <v>1145</v>
      </c>
      <c r="C667" s="4" t="s">
        <v>1375</v>
      </c>
      <c r="D667" s="4" t="s">
        <v>32</v>
      </c>
      <c r="E667" s="4" t="s">
        <v>67</v>
      </c>
      <c r="F667" s="4" t="s">
        <v>1376</v>
      </c>
      <c r="G667" s="4">
        <v>25</v>
      </c>
      <c r="H667" s="4">
        <v>219</v>
      </c>
      <c r="I667" s="4">
        <v>7158142</v>
      </c>
      <c r="J667" s="4">
        <v>12</v>
      </c>
      <c r="K667" s="4">
        <v>18.25</v>
      </c>
      <c r="L667" s="4">
        <v>596511.83333333302</v>
      </c>
      <c r="M667" s="4">
        <v>32685.579908675802</v>
      </c>
      <c r="N667" s="4" t="s">
        <v>68</v>
      </c>
      <c r="O667" s="4">
        <v>0.27187935081477899</v>
      </c>
      <c r="P667" s="4">
        <v>0.21772052987606499</v>
      </c>
    </row>
    <row r="668" spans="1:16">
      <c r="A668" s="4" t="s">
        <v>1377</v>
      </c>
      <c r="B668" s="4" t="s">
        <v>1145</v>
      </c>
      <c r="C668" s="4" t="s">
        <v>1378</v>
      </c>
      <c r="D668" s="4" t="s">
        <v>32</v>
      </c>
      <c r="E668" s="4" t="s">
        <v>67</v>
      </c>
      <c r="F668" s="4" t="s">
        <v>1376</v>
      </c>
      <c r="G668" s="4">
        <v>25</v>
      </c>
      <c r="H668" s="4">
        <v>224</v>
      </c>
      <c r="I668" s="4">
        <v>7063000</v>
      </c>
      <c r="J668" s="4">
        <v>12</v>
      </c>
      <c r="K668" s="4">
        <v>18.6666666666667</v>
      </c>
      <c r="L668" s="4">
        <v>588583.33333333302</v>
      </c>
      <c r="M668" s="4">
        <v>31531.25</v>
      </c>
      <c r="N668" s="4" t="s">
        <v>54</v>
      </c>
      <c r="O668" s="4">
        <v>0.48760271839161801</v>
      </c>
      <c r="P668" s="4">
        <v>0.30751817698471501</v>
      </c>
    </row>
    <row r="669" spans="1:16">
      <c r="A669" s="4" t="s">
        <v>1379</v>
      </c>
      <c r="B669" s="4" t="s">
        <v>1145</v>
      </c>
      <c r="C669" s="4" t="s">
        <v>1380</v>
      </c>
      <c r="D669" s="4" t="s">
        <v>32</v>
      </c>
      <c r="E669" s="4" t="s">
        <v>67</v>
      </c>
      <c r="F669" s="4" t="s">
        <v>1376</v>
      </c>
      <c r="G669" s="4">
        <v>25</v>
      </c>
      <c r="H669" s="4">
        <v>222</v>
      </c>
      <c r="I669" s="4">
        <v>6825490</v>
      </c>
      <c r="J669" s="4">
        <v>12</v>
      </c>
      <c r="K669" s="4">
        <v>18.5</v>
      </c>
      <c r="L669" s="4">
        <v>568790.83333333302</v>
      </c>
      <c r="M669" s="4">
        <v>30745.450450450498</v>
      </c>
      <c r="N669" s="4" t="s">
        <v>51</v>
      </c>
      <c r="O669" s="4">
        <v>0.548514612137737</v>
      </c>
      <c r="P669" s="4">
        <v>0.35498813349976399</v>
      </c>
    </row>
    <row r="670" spans="1:16">
      <c r="A670" s="4" t="s">
        <v>1381</v>
      </c>
      <c r="B670" s="4" t="s">
        <v>1145</v>
      </c>
      <c r="C670" s="4" t="s">
        <v>1382</v>
      </c>
      <c r="D670" s="4" t="s">
        <v>32</v>
      </c>
      <c r="E670" s="4" t="s">
        <v>33</v>
      </c>
      <c r="F670" s="4" t="s">
        <v>1376</v>
      </c>
      <c r="G670" s="4">
        <v>25</v>
      </c>
      <c r="H670" s="4">
        <v>229</v>
      </c>
      <c r="I670" s="4">
        <v>6574331</v>
      </c>
      <c r="J670" s="4">
        <v>12</v>
      </c>
      <c r="K670" s="4">
        <v>19.0833333333333</v>
      </c>
      <c r="L670" s="4">
        <v>547860.91666666698</v>
      </c>
      <c r="M670" s="4">
        <v>28708.868995633198</v>
      </c>
      <c r="N670" s="4" t="s">
        <v>35</v>
      </c>
      <c r="O670" s="4">
        <v>0.40878075655150298</v>
      </c>
      <c r="P670" s="4">
        <v>0.25152558734563302</v>
      </c>
    </row>
    <row r="671" spans="1:16">
      <c r="A671" s="4" t="s">
        <v>1383</v>
      </c>
      <c r="B671" s="4" t="s">
        <v>1145</v>
      </c>
      <c r="C671" s="4" t="s">
        <v>1384</v>
      </c>
      <c r="D671" s="4" t="s">
        <v>32</v>
      </c>
      <c r="E671" s="4" t="s">
        <v>67</v>
      </c>
      <c r="F671" s="4" t="s">
        <v>1376</v>
      </c>
      <c r="G671" s="4">
        <v>25</v>
      </c>
      <c r="H671" s="4">
        <v>202</v>
      </c>
      <c r="I671" s="4">
        <v>6361234</v>
      </c>
      <c r="J671" s="4">
        <v>12</v>
      </c>
      <c r="K671" s="4">
        <v>16.8333333333333</v>
      </c>
      <c r="L671" s="4">
        <v>530102.83333333302</v>
      </c>
      <c r="M671" s="4">
        <v>31491.257425742599</v>
      </c>
      <c r="N671" s="4" t="s">
        <v>51</v>
      </c>
      <c r="O671" s="4">
        <v>0.50138840985884203</v>
      </c>
      <c r="P671" s="4">
        <v>0.30898328596340602</v>
      </c>
    </row>
    <row r="672" spans="1:16">
      <c r="A672" s="4" t="s">
        <v>1385</v>
      </c>
      <c r="B672" s="4" t="s">
        <v>1145</v>
      </c>
      <c r="C672" s="4" t="s">
        <v>1386</v>
      </c>
      <c r="D672" s="4" t="s">
        <v>41</v>
      </c>
      <c r="E672" s="4" t="s">
        <v>42</v>
      </c>
      <c r="F672" s="4" t="s">
        <v>1376</v>
      </c>
      <c r="G672" s="4">
        <v>25</v>
      </c>
      <c r="H672" s="4">
        <v>229</v>
      </c>
      <c r="I672" s="4">
        <v>6200373</v>
      </c>
      <c r="J672" s="4">
        <v>12</v>
      </c>
      <c r="K672" s="4">
        <v>19.0833333333333</v>
      </c>
      <c r="L672" s="4">
        <v>516697.75</v>
      </c>
      <c r="M672" s="4">
        <v>27075.864628821</v>
      </c>
      <c r="N672" s="4" t="s">
        <v>47</v>
      </c>
      <c r="O672" s="4">
        <v>0.40591961161046303</v>
      </c>
      <c r="P672" s="4">
        <v>0.25458998142289502</v>
      </c>
    </row>
    <row r="673" spans="1:16">
      <c r="A673" s="4" t="s">
        <v>1387</v>
      </c>
      <c r="B673" s="4" t="s">
        <v>1145</v>
      </c>
      <c r="C673" s="4" t="s">
        <v>1388</v>
      </c>
      <c r="D673" s="4" t="s">
        <v>41</v>
      </c>
      <c r="E673" s="4" t="s">
        <v>42</v>
      </c>
      <c r="F673" s="4" t="s">
        <v>1376</v>
      </c>
      <c r="G673" s="4">
        <v>25</v>
      </c>
      <c r="H673" s="4">
        <v>239</v>
      </c>
      <c r="I673" s="4">
        <v>6114088</v>
      </c>
      <c r="J673" s="4">
        <v>12</v>
      </c>
      <c r="K673" s="4">
        <v>19.9166666666667</v>
      </c>
      <c r="L673" s="4">
        <v>509507.33333333302</v>
      </c>
      <c r="M673" s="4">
        <v>25581.9581589958</v>
      </c>
      <c r="N673" s="4" t="s">
        <v>47</v>
      </c>
      <c r="O673" s="4">
        <v>0.39958273417065598</v>
      </c>
      <c r="P673" s="4">
        <v>0.242283798232307</v>
      </c>
    </row>
    <row r="674" spans="1:16">
      <c r="A674" s="4" t="s">
        <v>1389</v>
      </c>
      <c r="B674" s="4" t="s">
        <v>1145</v>
      </c>
      <c r="C674" s="4" t="s">
        <v>1390</v>
      </c>
      <c r="D674" s="4" t="s">
        <v>32</v>
      </c>
      <c r="E674" s="4" t="s">
        <v>33</v>
      </c>
      <c r="F674" s="4" t="s">
        <v>1376</v>
      </c>
      <c r="G674" s="4">
        <v>25</v>
      </c>
      <c r="H674" s="4">
        <v>190</v>
      </c>
      <c r="I674" s="4">
        <v>5462556</v>
      </c>
      <c r="J674" s="4">
        <v>12</v>
      </c>
      <c r="K674" s="4">
        <v>15.8333333333333</v>
      </c>
      <c r="L674" s="4">
        <v>455213</v>
      </c>
      <c r="M674" s="4">
        <v>28750.294736842101</v>
      </c>
      <c r="N674" s="4" t="s">
        <v>47</v>
      </c>
      <c r="O674" s="4">
        <v>0.41046663869441302</v>
      </c>
      <c r="P674" s="4">
        <v>0.25596333931067999</v>
      </c>
    </row>
    <row r="675" spans="1:16">
      <c r="A675" s="4" t="s">
        <v>1391</v>
      </c>
      <c r="B675" s="4" t="s">
        <v>1145</v>
      </c>
      <c r="C675" s="4" t="s">
        <v>1392</v>
      </c>
      <c r="D675" s="4" t="s">
        <v>41</v>
      </c>
      <c r="E675" s="4" t="s">
        <v>50</v>
      </c>
      <c r="F675" s="4" t="s">
        <v>1376</v>
      </c>
      <c r="G675" s="4">
        <v>25</v>
      </c>
      <c r="H675" s="4">
        <v>214</v>
      </c>
      <c r="I675" s="4">
        <v>5287741</v>
      </c>
      <c r="J675" s="4">
        <v>12</v>
      </c>
      <c r="K675" s="4">
        <v>17.8333333333333</v>
      </c>
      <c r="L675" s="4">
        <v>440645.08333333302</v>
      </c>
      <c r="M675" s="4">
        <v>24709.0700934579</v>
      </c>
      <c r="N675" s="4" t="s">
        <v>47</v>
      </c>
      <c r="O675" s="4">
        <v>0.42711320391827101</v>
      </c>
      <c r="P675" s="4">
        <v>0.29286778935879798</v>
      </c>
    </row>
    <row r="676" spans="1:16">
      <c r="A676" s="4" t="s">
        <v>1393</v>
      </c>
      <c r="B676" s="4" t="s">
        <v>1145</v>
      </c>
      <c r="C676" s="4" t="s">
        <v>1394</v>
      </c>
      <c r="D676" s="4" t="s">
        <v>41</v>
      </c>
      <c r="E676" s="4" t="s">
        <v>50</v>
      </c>
      <c r="F676" s="4" t="s">
        <v>1376</v>
      </c>
      <c r="G676" s="4">
        <v>25</v>
      </c>
      <c r="H676" s="4">
        <v>205</v>
      </c>
      <c r="I676" s="4">
        <v>5283949</v>
      </c>
      <c r="J676" s="4">
        <v>12</v>
      </c>
      <c r="K676" s="4">
        <v>17.0833333333333</v>
      </c>
      <c r="L676" s="4">
        <v>440329.08333333302</v>
      </c>
      <c r="M676" s="4">
        <v>25775.360975609801</v>
      </c>
      <c r="N676" s="4" t="s">
        <v>47</v>
      </c>
      <c r="O676" s="4">
        <v>0.238307182752899</v>
      </c>
      <c r="P676" s="4">
        <v>0.182503832215824</v>
      </c>
    </row>
    <row r="677" spans="1:16">
      <c r="A677" s="4" t="s">
        <v>1395</v>
      </c>
      <c r="B677" s="4" t="s">
        <v>1145</v>
      </c>
      <c r="C677" s="4" t="s">
        <v>1396</v>
      </c>
      <c r="D677" s="4" t="s">
        <v>32</v>
      </c>
      <c r="E677" s="4" t="s">
        <v>67</v>
      </c>
      <c r="F677" s="4" t="s">
        <v>1376</v>
      </c>
      <c r="G677" s="4">
        <v>25</v>
      </c>
      <c r="H677" s="4">
        <v>224</v>
      </c>
      <c r="I677" s="4">
        <v>5223760</v>
      </c>
      <c r="J677" s="4">
        <v>12</v>
      </c>
      <c r="K677" s="4">
        <v>18.6666666666667</v>
      </c>
      <c r="L677" s="4">
        <v>435313.33333333302</v>
      </c>
      <c r="M677" s="4">
        <v>23320.357142857101</v>
      </c>
      <c r="N677" s="4" t="s">
        <v>38</v>
      </c>
      <c r="O677" s="4">
        <v>0.51142548662266296</v>
      </c>
      <c r="P677" s="4">
        <v>0.318647403950721</v>
      </c>
    </row>
    <row r="678" spans="1:16">
      <c r="A678" s="4" t="s">
        <v>1397</v>
      </c>
      <c r="B678" s="4" t="s">
        <v>1145</v>
      </c>
      <c r="C678" s="4" t="s">
        <v>1398</v>
      </c>
      <c r="D678" s="4" t="s">
        <v>32</v>
      </c>
      <c r="E678" s="4" t="s">
        <v>67</v>
      </c>
      <c r="F678" s="4" t="s">
        <v>1376</v>
      </c>
      <c r="G678" s="4">
        <v>25</v>
      </c>
      <c r="H678" s="4">
        <v>217</v>
      </c>
      <c r="I678" s="4">
        <v>5137959</v>
      </c>
      <c r="J678" s="4">
        <v>12</v>
      </c>
      <c r="K678" s="4">
        <v>18.0833333333333</v>
      </c>
      <c r="L678" s="4">
        <v>428163.25</v>
      </c>
      <c r="M678" s="4">
        <v>23677.2304147465</v>
      </c>
      <c r="N678" s="4" t="s">
        <v>54</v>
      </c>
      <c r="O678" s="4">
        <v>0.51810222697378505</v>
      </c>
      <c r="P678" s="4">
        <v>0.32750665475720298</v>
      </c>
    </row>
    <row r="679" spans="1:16">
      <c r="A679" s="4" t="s">
        <v>1399</v>
      </c>
      <c r="B679" s="4" t="s">
        <v>1145</v>
      </c>
      <c r="C679" s="4" t="s">
        <v>1400</v>
      </c>
      <c r="D679" s="4" t="s">
        <v>41</v>
      </c>
      <c r="E679" s="4" t="s">
        <v>42</v>
      </c>
      <c r="F679" s="4" t="s">
        <v>1376</v>
      </c>
      <c r="G679" s="4">
        <v>25</v>
      </c>
      <c r="H679" s="4">
        <v>185</v>
      </c>
      <c r="I679" s="4">
        <v>5137740</v>
      </c>
      <c r="J679" s="4">
        <v>12</v>
      </c>
      <c r="K679" s="4">
        <v>15.4166666666667</v>
      </c>
      <c r="L679" s="4">
        <v>428145</v>
      </c>
      <c r="M679" s="4">
        <v>27771.567567567599</v>
      </c>
      <c r="N679" s="4" t="s">
        <v>47</v>
      </c>
      <c r="O679" s="4">
        <v>0.308844939603795</v>
      </c>
      <c r="P679" s="4">
        <v>0.22262554084236999</v>
      </c>
    </row>
    <row r="680" spans="1:16">
      <c r="A680" s="4" t="s">
        <v>1401</v>
      </c>
      <c r="B680" s="4" t="s">
        <v>1145</v>
      </c>
      <c r="C680" s="4" t="s">
        <v>1402</v>
      </c>
      <c r="D680" s="4" t="s">
        <v>41</v>
      </c>
      <c r="E680" s="4" t="s">
        <v>42</v>
      </c>
      <c r="F680" s="4" t="s">
        <v>1376</v>
      </c>
      <c r="G680" s="4">
        <v>25</v>
      </c>
      <c r="H680" s="4">
        <v>230</v>
      </c>
      <c r="I680" s="4">
        <v>5079190</v>
      </c>
      <c r="J680" s="4">
        <v>12</v>
      </c>
      <c r="K680" s="4">
        <v>19.1666666666667</v>
      </c>
      <c r="L680" s="4">
        <v>423265.83333333302</v>
      </c>
      <c r="M680" s="4">
        <v>22083.4347826087</v>
      </c>
      <c r="N680" s="4" t="s">
        <v>68</v>
      </c>
      <c r="O680" s="4">
        <v>0.25016685731386301</v>
      </c>
      <c r="P680" s="4">
        <v>0.19825301414468499</v>
      </c>
    </row>
    <row r="681" spans="1:16">
      <c r="A681" s="4" t="s">
        <v>1403</v>
      </c>
      <c r="B681" s="4" t="s">
        <v>1145</v>
      </c>
      <c r="C681" s="4" t="s">
        <v>1404</v>
      </c>
      <c r="D681" s="4" t="s">
        <v>41</v>
      </c>
      <c r="E681" s="4" t="s">
        <v>42</v>
      </c>
      <c r="F681" s="4" t="s">
        <v>1376</v>
      </c>
      <c r="G681" s="4">
        <v>25</v>
      </c>
      <c r="H681" s="4">
        <v>204</v>
      </c>
      <c r="I681" s="4">
        <v>5009905</v>
      </c>
      <c r="J681" s="4">
        <v>12</v>
      </c>
      <c r="K681" s="4">
        <v>17</v>
      </c>
      <c r="L681" s="4">
        <v>417492.08333333302</v>
      </c>
      <c r="M681" s="4">
        <v>24558.357843137299</v>
      </c>
      <c r="N681" s="4" t="s">
        <v>35</v>
      </c>
      <c r="O681" s="4">
        <v>0.354507520601688</v>
      </c>
      <c r="P681" s="4">
        <v>0.25026617501214499</v>
      </c>
    </row>
    <row r="682" spans="1:16">
      <c r="A682" s="4" t="s">
        <v>1405</v>
      </c>
      <c r="B682" s="4" t="s">
        <v>1145</v>
      </c>
      <c r="C682" s="4" t="s">
        <v>1406</v>
      </c>
      <c r="D682" s="4" t="s">
        <v>41</v>
      </c>
      <c r="E682" s="4" t="s">
        <v>42</v>
      </c>
      <c r="F682" s="4" t="s">
        <v>1376</v>
      </c>
      <c r="G682" s="4">
        <v>25</v>
      </c>
      <c r="H682" s="4">
        <v>225</v>
      </c>
      <c r="I682" s="4">
        <v>4866124</v>
      </c>
      <c r="J682" s="4">
        <v>12</v>
      </c>
      <c r="K682" s="4">
        <v>18.75</v>
      </c>
      <c r="L682" s="4">
        <v>405510.33333333302</v>
      </c>
      <c r="M682" s="4">
        <v>21627.217777777802</v>
      </c>
      <c r="N682" s="4" t="s">
        <v>51</v>
      </c>
      <c r="O682" s="4">
        <v>0.41124188368401599</v>
      </c>
      <c r="P682" s="4">
        <v>0.249476540737297</v>
      </c>
    </row>
    <row r="683" spans="1:16">
      <c r="A683" s="4" t="s">
        <v>1407</v>
      </c>
      <c r="B683" s="4" t="s">
        <v>1145</v>
      </c>
      <c r="C683" s="4" t="s">
        <v>1408</v>
      </c>
      <c r="D683" s="4" t="s">
        <v>41</v>
      </c>
      <c r="E683" s="4" t="s">
        <v>50</v>
      </c>
      <c r="F683" s="4" t="s">
        <v>1376</v>
      </c>
      <c r="G683" s="4">
        <v>25</v>
      </c>
      <c r="H683" s="4">
        <v>186</v>
      </c>
      <c r="I683" s="4">
        <v>4787357</v>
      </c>
      <c r="J683" s="4">
        <v>12</v>
      </c>
      <c r="K683" s="4">
        <v>15.5</v>
      </c>
      <c r="L683" s="4">
        <v>398946.41666666698</v>
      </c>
      <c r="M683" s="4">
        <v>25738.478494623701</v>
      </c>
      <c r="N683" s="4" t="s">
        <v>35</v>
      </c>
      <c r="O683" s="4">
        <v>0.34179381232692702</v>
      </c>
      <c r="P683" s="4">
        <v>0.21762854541839399</v>
      </c>
    </row>
    <row r="684" spans="1:16">
      <c r="A684" s="4" t="s">
        <v>1409</v>
      </c>
      <c r="B684" s="4" t="s">
        <v>1145</v>
      </c>
      <c r="C684" s="4" t="s">
        <v>1410</v>
      </c>
      <c r="D684" s="4" t="s">
        <v>41</v>
      </c>
      <c r="E684" s="4" t="s">
        <v>42</v>
      </c>
      <c r="F684" s="4" t="s">
        <v>1376</v>
      </c>
      <c r="G684" s="4">
        <v>25</v>
      </c>
      <c r="H684" s="4">
        <v>226</v>
      </c>
      <c r="I684" s="4">
        <v>4784385</v>
      </c>
      <c r="J684" s="4">
        <v>12</v>
      </c>
      <c r="K684" s="4">
        <v>18.8333333333333</v>
      </c>
      <c r="L684" s="4">
        <v>398698.75</v>
      </c>
      <c r="M684" s="4">
        <v>21169.845132743401</v>
      </c>
      <c r="N684" s="4" t="s">
        <v>54</v>
      </c>
      <c r="O684" s="4">
        <v>0.40411902470223399</v>
      </c>
      <c r="P684" s="4">
        <v>0.25432130706276301</v>
      </c>
    </row>
    <row r="685" spans="1:16">
      <c r="A685" s="4" t="s">
        <v>1411</v>
      </c>
      <c r="B685" s="4" t="s">
        <v>1145</v>
      </c>
      <c r="C685" s="4" t="s">
        <v>1412</v>
      </c>
      <c r="D685" s="4" t="s">
        <v>41</v>
      </c>
      <c r="E685" s="4" t="s">
        <v>50</v>
      </c>
      <c r="F685" s="4" t="s">
        <v>1376</v>
      </c>
      <c r="G685" s="4">
        <v>25</v>
      </c>
      <c r="H685" s="4">
        <v>206</v>
      </c>
      <c r="I685" s="4">
        <v>4643931</v>
      </c>
      <c r="J685" s="4">
        <v>12</v>
      </c>
      <c r="K685" s="4">
        <v>17.1666666666667</v>
      </c>
      <c r="L685" s="4">
        <v>386994.25</v>
      </c>
      <c r="M685" s="4">
        <v>22543.354368931999</v>
      </c>
      <c r="N685" s="4" t="s">
        <v>35</v>
      </c>
      <c r="O685" s="4">
        <v>0.47143228441593998</v>
      </c>
      <c r="P685" s="4">
        <v>0.28885981086041201</v>
      </c>
    </row>
    <row r="686" spans="1:16">
      <c r="A686" s="4" t="s">
        <v>1413</v>
      </c>
      <c r="B686" s="4" t="s">
        <v>1145</v>
      </c>
      <c r="C686" s="4" t="s">
        <v>1414</v>
      </c>
      <c r="D686" s="4" t="s">
        <v>32</v>
      </c>
      <c r="E686" s="4" t="s">
        <v>33</v>
      </c>
      <c r="F686" s="4" t="s">
        <v>1376</v>
      </c>
      <c r="G686" s="4">
        <v>25</v>
      </c>
      <c r="H686" s="4">
        <v>233</v>
      </c>
      <c r="I686" s="4">
        <v>4642387</v>
      </c>
      <c r="J686" s="4">
        <v>12</v>
      </c>
      <c r="K686" s="4">
        <v>19.4166666666667</v>
      </c>
      <c r="L686" s="4">
        <v>386865.58333333302</v>
      </c>
      <c r="M686" s="4">
        <v>19924.4077253219</v>
      </c>
      <c r="N686" s="4" t="s">
        <v>38</v>
      </c>
      <c r="O686" s="4">
        <v>0.37475225568226</v>
      </c>
      <c r="P686" s="4">
        <v>0.22852264028698299</v>
      </c>
    </row>
    <row r="687" spans="1:16">
      <c r="A687" s="4" t="s">
        <v>1415</v>
      </c>
      <c r="B687" s="4" t="s">
        <v>1145</v>
      </c>
      <c r="C687" s="4" t="s">
        <v>1416</v>
      </c>
      <c r="D687" s="4" t="s">
        <v>41</v>
      </c>
      <c r="E687" s="4" t="s">
        <v>42</v>
      </c>
      <c r="F687" s="4" t="s">
        <v>1376</v>
      </c>
      <c r="G687" s="4">
        <v>25</v>
      </c>
      <c r="H687" s="4">
        <v>222</v>
      </c>
      <c r="I687" s="4">
        <v>4637033</v>
      </c>
      <c r="J687" s="4">
        <v>12</v>
      </c>
      <c r="K687" s="4">
        <v>18.5</v>
      </c>
      <c r="L687" s="4">
        <v>386419.41666666698</v>
      </c>
      <c r="M687" s="4">
        <v>20887.536036035999</v>
      </c>
      <c r="N687" s="4" t="s">
        <v>51</v>
      </c>
      <c r="O687" s="4">
        <v>0.29128863219217999</v>
      </c>
      <c r="P687" s="4">
        <v>0.20936891920242601</v>
      </c>
    </row>
    <row r="688" spans="1:16">
      <c r="A688" s="4" t="s">
        <v>1417</v>
      </c>
      <c r="B688" s="4" t="s">
        <v>1145</v>
      </c>
      <c r="C688" s="4" t="s">
        <v>1418</v>
      </c>
      <c r="D688" s="4" t="s">
        <v>41</v>
      </c>
      <c r="E688" s="4" t="s">
        <v>42</v>
      </c>
      <c r="F688" s="4" t="s">
        <v>1376</v>
      </c>
      <c r="G688" s="4">
        <v>25</v>
      </c>
      <c r="H688" s="4">
        <v>196</v>
      </c>
      <c r="I688" s="4">
        <v>4581024</v>
      </c>
      <c r="J688" s="4">
        <v>12</v>
      </c>
      <c r="K688" s="4">
        <v>16.3333333333333</v>
      </c>
      <c r="L688" s="4">
        <v>381752</v>
      </c>
      <c r="M688" s="4">
        <v>23372.571428571398</v>
      </c>
      <c r="N688" s="4" t="s">
        <v>35</v>
      </c>
      <c r="O688" s="4">
        <v>0.60123784551227</v>
      </c>
      <c r="P688" s="4">
        <v>0.39864497824010597</v>
      </c>
    </row>
    <row r="689" spans="1:16">
      <c r="A689" s="4" t="s">
        <v>1419</v>
      </c>
      <c r="B689" s="4" t="s">
        <v>1145</v>
      </c>
      <c r="C689" s="4" t="s">
        <v>1420</v>
      </c>
      <c r="D689" s="4" t="s">
        <v>32</v>
      </c>
      <c r="E689" s="4" t="s">
        <v>33</v>
      </c>
      <c r="F689" s="4" t="s">
        <v>1376</v>
      </c>
      <c r="G689" s="4">
        <v>25</v>
      </c>
      <c r="H689" s="4">
        <v>187</v>
      </c>
      <c r="I689" s="4">
        <v>4578864</v>
      </c>
      <c r="J689" s="4">
        <v>12</v>
      </c>
      <c r="K689" s="4">
        <v>15.5833333333333</v>
      </c>
      <c r="L689" s="4">
        <v>381572</v>
      </c>
      <c r="M689" s="4">
        <v>24485.903743315499</v>
      </c>
      <c r="N689" s="4" t="s">
        <v>51</v>
      </c>
      <c r="O689" s="4">
        <v>0.345179721433089</v>
      </c>
      <c r="P689" s="4">
        <v>0.215463690653621</v>
      </c>
    </row>
    <row r="690" spans="1:16">
      <c r="A690" s="4" t="s">
        <v>1421</v>
      </c>
      <c r="B690" s="4" t="s">
        <v>1145</v>
      </c>
      <c r="C690" s="4" t="s">
        <v>1422</v>
      </c>
      <c r="D690" s="4" t="s">
        <v>41</v>
      </c>
      <c r="E690" s="4" t="s">
        <v>42</v>
      </c>
      <c r="F690" s="4" t="s">
        <v>1376</v>
      </c>
      <c r="G690" s="4">
        <v>25</v>
      </c>
      <c r="H690" s="4">
        <v>211</v>
      </c>
      <c r="I690" s="4">
        <v>4571771</v>
      </c>
      <c r="J690" s="4">
        <v>12</v>
      </c>
      <c r="K690" s="4">
        <v>17.5833333333333</v>
      </c>
      <c r="L690" s="4">
        <v>380980.91666666698</v>
      </c>
      <c r="M690" s="4">
        <v>21667.161137440798</v>
      </c>
      <c r="N690" s="4" t="s">
        <v>38</v>
      </c>
      <c r="O690" s="4">
        <v>0.51057741081082098</v>
      </c>
      <c r="P690" s="4">
        <v>0.31528850936147501</v>
      </c>
    </row>
    <row r="691" spans="1:16">
      <c r="A691" s="4" t="s">
        <v>1423</v>
      </c>
      <c r="B691" s="4" t="s">
        <v>1145</v>
      </c>
      <c r="C691" s="4" t="s">
        <v>1424</v>
      </c>
      <c r="D691" s="4" t="s">
        <v>32</v>
      </c>
      <c r="E691" s="4" t="s">
        <v>33</v>
      </c>
      <c r="F691" s="4" t="s">
        <v>1376</v>
      </c>
      <c r="G691" s="4">
        <v>25</v>
      </c>
      <c r="H691" s="4">
        <v>191</v>
      </c>
      <c r="I691" s="4">
        <v>4546602</v>
      </c>
      <c r="J691" s="4">
        <v>12</v>
      </c>
      <c r="K691" s="4">
        <v>15.9166666666667</v>
      </c>
      <c r="L691" s="4">
        <v>378883.5</v>
      </c>
      <c r="M691" s="4">
        <v>23804.1989528796</v>
      </c>
      <c r="N691" s="4" t="s">
        <v>35</v>
      </c>
      <c r="O691" s="4">
        <v>0.263651403839615</v>
      </c>
      <c r="P691" s="4">
        <v>0.18820942698965901</v>
      </c>
    </row>
    <row r="692" spans="1:16">
      <c r="A692" s="4" t="s">
        <v>1425</v>
      </c>
      <c r="B692" s="4" t="s">
        <v>1145</v>
      </c>
      <c r="C692" s="4" t="s">
        <v>1426</v>
      </c>
      <c r="D692" s="4" t="s">
        <v>41</v>
      </c>
      <c r="E692" s="4" t="s">
        <v>50</v>
      </c>
      <c r="F692" s="4" t="s">
        <v>1376</v>
      </c>
      <c r="G692" s="4">
        <v>25</v>
      </c>
      <c r="H692" s="4">
        <v>210</v>
      </c>
      <c r="I692" s="4">
        <v>4539521</v>
      </c>
      <c r="J692" s="4">
        <v>12</v>
      </c>
      <c r="K692" s="4">
        <v>17.5</v>
      </c>
      <c r="L692" s="4">
        <v>378293.41666666698</v>
      </c>
      <c r="M692" s="4">
        <v>21616.766666666699</v>
      </c>
      <c r="N692" s="4" t="s">
        <v>35</v>
      </c>
      <c r="O692" s="4">
        <v>0.37852694149889399</v>
      </c>
      <c r="P692" s="4">
        <v>0.22963539342935901</v>
      </c>
    </row>
    <row r="693" spans="1:16">
      <c r="A693" s="4" t="s">
        <v>1427</v>
      </c>
      <c r="B693" s="4" t="s">
        <v>1145</v>
      </c>
      <c r="C693" s="4" t="s">
        <v>1428</v>
      </c>
      <c r="D693" s="4" t="s">
        <v>41</v>
      </c>
      <c r="E693" s="4" t="s">
        <v>42</v>
      </c>
      <c r="F693" s="4" t="s">
        <v>1376</v>
      </c>
      <c r="G693" s="4">
        <v>25</v>
      </c>
      <c r="H693" s="4">
        <v>184</v>
      </c>
      <c r="I693" s="4">
        <v>4530078</v>
      </c>
      <c r="J693" s="4">
        <v>12</v>
      </c>
      <c r="K693" s="4">
        <v>15.3333333333333</v>
      </c>
      <c r="L693" s="4">
        <v>377506.5</v>
      </c>
      <c r="M693" s="4">
        <v>24619.989130434798</v>
      </c>
      <c r="N693" s="4" t="s">
        <v>35</v>
      </c>
      <c r="O693" s="4">
        <v>0.63422969759019598</v>
      </c>
      <c r="P693" s="4">
        <v>0.43425852644964402</v>
      </c>
    </row>
    <row r="694" spans="1:16">
      <c r="A694" s="4" t="s">
        <v>1429</v>
      </c>
      <c r="B694" s="4" t="s">
        <v>1145</v>
      </c>
      <c r="C694" s="4" t="s">
        <v>1430</v>
      </c>
      <c r="D694" s="4" t="s">
        <v>41</v>
      </c>
      <c r="E694" s="4" t="s">
        <v>42</v>
      </c>
      <c r="F694" s="4" t="s">
        <v>1376</v>
      </c>
      <c r="G694" s="4">
        <v>25</v>
      </c>
      <c r="H694" s="4">
        <v>198</v>
      </c>
      <c r="I694" s="4">
        <v>4516298</v>
      </c>
      <c r="J694" s="4">
        <v>12</v>
      </c>
      <c r="K694" s="4">
        <v>16.5</v>
      </c>
      <c r="L694" s="4">
        <v>376358.16666666698</v>
      </c>
      <c r="M694" s="4">
        <v>22809.585858585899</v>
      </c>
      <c r="N694" s="4" t="s">
        <v>68</v>
      </c>
      <c r="O694" s="4">
        <v>0.31272493533420498</v>
      </c>
      <c r="P694" s="4">
        <v>0.244109386315289</v>
      </c>
    </row>
    <row r="695" spans="1:16">
      <c r="A695" s="4" t="s">
        <v>1431</v>
      </c>
      <c r="B695" s="4" t="s">
        <v>1145</v>
      </c>
      <c r="C695" s="4" t="s">
        <v>1432</v>
      </c>
      <c r="D695" s="4" t="s">
        <v>32</v>
      </c>
      <c r="E695" s="4" t="s">
        <v>33</v>
      </c>
      <c r="F695" s="4" t="s">
        <v>1376</v>
      </c>
      <c r="G695" s="4">
        <v>25</v>
      </c>
      <c r="H695" s="4">
        <v>184</v>
      </c>
      <c r="I695" s="4">
        <v>4507086</v>
      </c>
      <c r="J695" s="4">
        <v>12</v>
      </c>
      <c r="K695" s="4">
        <v>15.3333333333333</v>
      </c>
      <c r="L695" s="4">
        <v>375590.5</v>
      </c>
      <c r="M695" s="4">
        <v>24495.032608695699</v>
      </c>
      <c r="N695" s="4" t="s">
        <v>47</v>
      </c>
      <c r="O695" s="4">
        <v>0.38398712604995799</v>
      </c>
      <c r="P695" s="4">
        <v>0.249518882186471</v>
      </c>
    </row>
    <row r="696" spans="1:16">
      <c r="A696" s="4" t="s">
        <v>1433</v>
      </c>
      <c r="B696" s="4" t="s">
        <v>1145</v>
      </c>
      <c r="C696" s="4" t="s">
        <v>1434</v>
      </c>
      <c r="D696" s="4" t="s">
        <v>41</v>
      </c>
      <c r="E696" s="4" t="s">
        <v>42</v>
      </c>
      <c r="F696" s="4" t="s">
        <v>1376</v>
      </c>
      <c r="G696" s="4">
        <v>25</v>
      </c>
      <c r="H696" s="4">
        <v>220</v>
      </c>
      <c r="I696" s="4">
        <v>4480859</v>
      </c>
      <c r="J696" s="4">
        <v>12</v>
      </c>
      <c r="K696" s="4">
        <v>18.3333333333333</v>
      </c>
      <c r="L696" s="4">
        <v>373404.91666666698</v>
      </c>
      <c r="M696" s="4">
        <v>20367.540909090902</v>
      </c>
      <c r="N696" s="4" t="s">
        <v>68</v>
      </c>
      <c r="O696" s="4">
        <v>0.464840781644769</v>
      </c>
      <c r="P696" s="4">
        <v>0.27455476171890097</v>
      </c>
    </row>
    <row r="697" spans="1:16">
      <c r="A697" s="4" t="s">
        <v>1435</v>
      </c>
      <c r="B697" s="4" t="s">
        <v>1145</v>
      </c>
      <c r="C697" s="4" t="s">
        <v>1436</v>
      </c>
      <c r="D697" s="4" t="s">
        <v>41</v>
      </c>
      <c r="E697" s="4" t="s">
        <v>42</v>
      </c>
      <c r="F697" s="4" t="s">
        <v>1376</v>
      </c>
      <c r="G697" s="4">
        <v>25</v>
      </c>
      <c r="H697" s="4">
        <v>209</v>
      </c>
      <c r="I697" s="4">
        <v>4480098</v>
      </c>
      <c r="J697" s="4">
        <v>12</v>
      </c>
      <c r="K697" s="4">
        <v>17.4166666666667</v>
      </c>
      <c r="L697" s="4">
        <v>373341.5</v>
      </c>
      <c r="M697" s="4">
        <v>21435.875598086099</v>
      </c>
      <c r="N697" s="4" t="s">
        <v>54</v>
      </c>
      <c r="O697" s="4">
        <v>0.27808900608870601</v>
      </c>
      <c r="P697" s="4">
        <v>0.19957403466183701</v>
      </c>
    </row>
    <row r="698" spans="1:16">
      <c r="A698" s="4" t="s">
        <v>1437</v>
      </c>
      <c r="B698" s="4" t="s">
        <v>1145</v>
      </c>
      <c r="C698" s="4" t="s">
        <v>1438</v>
      </c>
      <c r="D698" s="4" t="s">
        <v>32</v>
      </c>
      <c r="E698" s="4" t="s">
        <v>67</v>
      </c>
      <c r="F698" s="4" t="s">
        <v>1376</v>
      </c>
      <c r="G698" s="4">
        <v>25</v>
      </c>
      <c r="H698" s="4">
        <v>177</v>
      </c>
      <c r="I698" s="4">
        <v>4477560</v>
      </c>
      <c r="J698" s="4">
        <v>12</v>
      </c>
      <c r="K698" s="4">
        <v>14.75</v>
      </c>
      <c r="L698" s="4">
        <v>373130</v>
      </c>
      <c r="M698" s="4">
        <v>25296.949152542398</v>
      </c>
      <c r="N698" s="4" t="s">
        <v>51</v>
      </c>
      <c r="O698" s="4">
        <v>0.31181402370934203</v>
      </c>
      <c r="P698" s="4">
        <v>0.208810000051115</v>
      </c>
    </row>
    <row r="699" spans="1:16">
      <c r="A699" s="4" t="s">
        <v>1439</v>
      </c>
      <c r="B699" s="4" t="s">
        <v>1145</v>
      </c>
      <c r="C699" s="4" t="s">
        <v>1440</v>
      </c>
      <c r="D699" s="4" t="s">
        <v>41</v>
      </c>
      <c r="E699" s="4" t="s">
        <v>42</v>
      </c>
      <c r="F699" s="4" t="s">
        <v>1376</v>
      </c>
      <c r="G699" s="4">
        <v>25</v>
      </c>
      <c r="H699" s="4">
        <v>210</v>
      </c>
      <c r="I699" s="4">
        <v>4467582</v>
      </c>
      <c r="J699" s="4">
        <v>12</v>
      </c>
      <c r="K699" s="4">
        <v>17.5</v>
      </c>
      <c r="L699" s="4">
        <v>372298.5</v>
      </c>
      <c r="M699" s="4">
        <v>21274.2</v>
      </c>
      <c r="N699" s="4" t="s">
        <v>51</v>
      </c>
      <c r="O699" s="4">
        <v>0.32688308798808802</v>
      </c>
      <c r="P699" s="4">
        <v>0.22543175261296799</v>
      </c>
    </row>
    <row r="700" spans="1:16">
      <c r="A700" s="4" t="s">
        <v>1441</v>
      </c>
      <c r="B700" s="4" t="s">
        <v>1145</v>
      </c>
      <c r="C700" s="4" t="s">
        <v>1442</v>
      </c>
      <c r="D700" s="4" t="s">
        <v>41</v>
      </c>
      <c r="E700" s="4" t="s">
        <v>50</v>
      </c>
      <c r="F700" s="4" t="s">
        <v>1376</v>
      </c>
      <c r="G700" s="4">
        <v>25</v>
      </c>
      <c r="H700" s="4">
        <v>206</v>
      </c>
      <c r="I700" s="4">
        <v>4444486</v>
      </c>
      <c r="J700" s="4">
        <v>12</v>
      </c>
      <c r="K700" s="4">
        <v>17.1666666666667</v>
      </c>
      <c r="L700" s="4">
        <v>370373.83333333302</v>
      </c>
      <c r="M700" s="4">
        <v>21575.174757281598</v>
      </c>
      <c r="N700" s="4" t="s">
        <v>54</v>
      </c>
      <c r="O700" s="4">
        <v>0.24418234189510299</v>
      </c>
      <c r="P700" s="4">
        <v>0.19542637594592399</v>
      </c>
    </row>
    <row r="701" spans="1:16">
      <c r="A701" s="4" t="s">
        <v>1443</v>
      </c>
      <c r="B701" s="4" t="s">
        <v>1145</v>
      </c>
      <c r="C701" s="4" t="s">
        <v>1444</v>
      </c>
      <c r="D701" s="4" t="s">
        <v>32</v>
      </c>
      <c r="E701" s="4" t="s">
        <v>67</v>
      </c>
      <c r="F701" s="4" t="s">
        <v>1376</v>
      </c>
      <c r="G701" s="4">
        <v>25</v>
      </c>
      <c r="H701" s="4">
        <v>210</v>
      </c>
      <c r="I701" s="4">
        <v>4394462</v>
      </c>
      <c r="J701" s="4">
        <v>12</v>
      </c>
      <c r="K701" s="4">
        <v>17.5</v>
      </c>
      <c r="L701" s="4">
        <v>366205.16666666698</v>
      </c>
      <c r="M701" s="4">
        <v>20926.009523809498</v>
      </c>
      <c r="N701" s="4" t="s">
        <v>35</v>
      </c>
      <c r="O701" s="4">
        <v>0.32273620752665499</v>
      </c>
      <c r="P701" s="4">
        <v>0.236600872547307</v>
      </c>
    </row>
    <row r="702" spans="1:16">
      <c r="A702" s="4" t="s">
        <v>1445</v>
      </c>
      <c r="B702" s="4" t="s">
        <v>1145</v>
      </c>
      <c r="C702" s="4" t="s">
        <v>1446</v>
      </c>
      <c r="D702" s="4" t="s">
        <v>41</v>
      </c>
      <c r="E702" s="4" t="s">
        <v>50</v>
      </c>
      <c r="F702" s="4" t="s">
        <v>1376</v>
      </c>
      <c r="G702" s="4">
        <v>25</v>
      </c>
      <c r="H702" s="4">
        <v>189</v>
      </c>
      <c r="I702" s="4">
        <v>4390668</v>
      </c>
      <c r="J702" s="4">
        <v>12</v>
      </c>
      <c r="K702" s="4">
        <v>15.75</v>
      </c>
      <c r="L702" s="4">
        <v>365889</v>
      </c>
      <c r="M702" s="4">
        <v>23231.0476190476</v>
      </c>
      <c r="N702" s="4" t="s">
        <v>68</v>
      </c>
      <c r="O702" s="4">
        <v>0.59785071428766701</v>
      </c>
      <c r="P702" s="4">
        <v>0.40157886040340501</v>
      </c>
    </row>
    <row r="703" spans="1:16">
      <c r="A703" s="4" t="s">
        <v>1447</v>
      </c>
      <c r="B703" s="4" t="s">
        <v>1145</v>
      </c>
      <c r="C703" s="4" t="s">
        <v>1448</v>
      </c>
      <c r="D703" s="4" t="s">
        <v>32</v>
      </c>
      <c r="E703" s="4" t="s">
        <v>67</v>
      </c>
      <c r="F703" s="4" t="s">
        <v>1376</v>
      </c>
      <c r="G703" s="4">
        <v>25</v>
      </c>
      <c r="H703" s="4">
        <v>189</v>
      </c>
      <c r="I703" s="4">
        <v>4375067</v>
      </c>
      <c r="J703" s="4">
        <v>12</v>
      </c>
      <c r="K703" s="4">
        <v>15.75</v>
      </c>
      <c r="L703" s="4">
        <v>364588.91666666698</v>
      </c>
      <c r="M703" s="4">
        <v>23148.5026455027</v>
      </c>
      <c r="N703" s="4" t="s">
        <v>47</v>
      </c>
      <c r="O703" s="4">
        <v>0.29869119718623699</v>
      </c>
      <c r="P703" s="4">
        <v>0.20257398736496601</v>
      </c>
    </row>
    <row r="704" spans="1:16">
      <c r="A704" s="4" t="s">
        <v>1449</v>
      </c>
      <c r="B704" s="4" t="s">
        <v>1145</v>
      </c>
      <c r="C704" s="4" t="s">
        <v>1450</v>
      </c>
      <c r="D704" s="4" t="s">
        <v>41</v>
      </c>
      <c r="E704" s="4" t="s">
        <v>50</v>
      </c>
      <c r="F704" s="4" t="s">
        <v>1376</v>
      </c>
      <c r="G704" s="4">
        <v>25</v>
      </c>
      <c r="H704" s="4">
        <v>164</v>
      </c>
      <c r="I704" s="4">
        <v>4338922</v>
      </c>
      <c r="J704" s="4">
        <v>12</v>
      </c>
      <c r="K704" s="4">
        <v>13.6666666666667</v>
      </c>
      <c r="L704" s="4">
        <v>361576.83333333302</v>
      </c>
      <c r="M704" s="4">
        <v>26456.841463414599</v>
      </c>
      <c r="N704" s="4" t="s">
        <v>35</v>
      </c>
      <c r="O704" s="4">
        <v>0.418160547712082</v>
      </c>
      <c r="P704" s="4">
        <v>0.33992480380051499</v>
      </c>
    </row>
    <row r="705" spans="1:16">
      <c r="A705" s="4" t="s">
        <v>1451</v>
      </c>
      <c r="B705" s="4" t="s">
        <v>1145</v>
      </c>
      <c r="C705" s="4" t="s">
        <v>1452</v>
      </c>
      <c r="D705" s="4" t="s">
        <v>41</v>
      </c>
      <c r="E705" s="4" t="s">
        <v>42</v>
      </c>
      <c r="F705" s="4" t="s">
        <v>1376</v>
      </c>
      <c r="G705" s="4">
        <v>25</v>
      </c>
      <c r="H705" s="4">
        <v>204</v>
      </c>
      <c r="I705" s="4">
        <v>4230846</v>
      </c>
      <c r="J705" s="4">
        <v>12</v>
      </c>
      <c r="K705" s="4">
        <v>17</v>
      </c>
      <c r="L705" s="4">
        <v>352570.5</v>
      </c>
      <c r="M705" s="4">
        <v>20739.441176470598</v>
      </c>
      <c r="N705" s="4" t="s">
        <v>35</v>
      </c>
      <c r="O705" s="4">
        <v>0.37614415651148703</v>
      </c>
      <c r="P705" s="4">
        <v>0.25371748259726401</v>
      </c>
    </row>
    <row r="706" spans="1:16">
      <c r="A706" s="4" t="s">
        <v>1453</v>
      </c>
      <c r="B706" s="4" t="s">
        <v>1145</v>
      </c>
      <c r="C706" s="4" t="s">
        <v>1454</v>
      </c>
      <c r="D706" s="4" t="s">
        <v>32</v>
      </c>
      <c r="E706" s="4" t="s">
        <v>33</v>
      </c>
      <c r="F706" s="4" t="s">
        <v>1376</v>
      </c>
      <c r="G706" s="4">
        <v>25</v>
      </c>
      <c r="H706" s="4">
        <v>191</v>
      </c>
      <c r="I706" s="4">
        <v>4206718</v>
      </c>
      <c r="J706" s="4">
        <v>12</v>
      </c>
      <c r="K706" s="4">
        <v>15.9166666666667</v>
      </c>
      <c r="L706" s="4">
        <v>350559.83333333302</v>
      </c>
      <c r="M706" s="4">
        <v>22024.701570680601</v>
      </c>
      <c r="N706" s="4" t="s">
        <v>35</v>
      </c>
      <c r="O706" s="4">
        <v>0.35741735005769298</v>
      </c>
      <c r="P706" s="4">
        <v>0.21265322357775401</v>
      </c>
    </row>
    <row r="707" spans="1:16">
      <c r="A707" s="4" t="s">
        <v>1455</v>
      </c>
      <c r="B707" s="4" t="s">
        <v>1145</v>
      </c>
      <c r="C707" s="4" t="s">
        <v>1456</v>
      </c>
      <c r="D707" s="4" t="s">
        <v>32</v>
      </c>
      <c r="E707" s="4" t="s">
        <v>33</v>
      </c>
      <c r="F707" s="4" t="s">
        <v>1376</v>
      </c>
      <c r="G707" s="4">
        <v>25</v>
      </c>
      <c r="H707" s="4">
        <v>214</v>
      </c>
      <c r="I707" s="4">
        <v>4191722</v>
      </c>
      <c r="J707" s="4">
        <v>12</v>
      </c>
      <c r="K707" s="4">
        <v>17.8333333333333</v>
      </c>
      <c r="L707" s="4">
        <v>349310.16666666698</v>
      </c>
      <c r="M707" s="4">
        <v>19587.4859813084</v>
      </c>
      <c r="N707" s="4" t="s">
        <v>47</v>
      </c>
      <c r="O707" s="4">
        <v>0.28141775623478898</v>
      </c>
      <c r="P707" s="4">
        <v>0.20799704679134601</v>
      </c>
    </row>
    <row r="708" spans="1:16">
      <c r="A708" s="4" t="s">
        <v>1457</v>
      </c>
      <c r="B708" s="4" t="s">
        <v>1145</v>
      </c>
      <c r="C708" s="4" t="s">
        <v>1458</v>
      </c>
      <c r="D708" s="4" t="s">
        <v>41</v>
      </c>
      <c r="E708" s="4" t="s">
        <v>50</v>
      </c>
      <c r="F708" s="4" t="s">
        <v>1376</v>
      </c>
      <c r="G708" s="4">
        <v>25</v>
      </c>
      <c r="H708" s="4">
        <v>212</v>
      </c>
      <c r="I708" s="4">
        <v>4184133</v>
      </c>
      <c r="J708" s="4">
        <v>12</v>
      </c>
      <c r="K708" s="4">
        <v>17.6666666666667</v>
      </c>
      <c r="L708" s="4">
        <v>348677.75</v>
      </c>
      <c r="M708" s="4">
        <v>19736.476415094301</v>
      </c>
      <c r="N708" s="4" t="s">
        <v>54</v>
      </c>
      <c r="O708" s="4">
        <v>0.38485105516483298</v>
      </c>
      <c r="P708" s="4">
        <v>0.23451633744662201</v>
      </c>
    </row>
    <row r="709" spans="1:16">
      <c r="A709" s="4" t="s">
        <v>1459</v>
      </c>
      <c r="B709" s="4" t="s">
        <v>1145</v>
      </c>
      <c r="C709" s="4" t="s">
        <v>1460</v>
      </c>
      <c r="D709" s="4" t="s">
        <v>41</v>
      </c>
      <c r="E709" s="4" t="s">
        <v>42</v>
      </c>
      <c r="F709" s="4" t="s">
        <v>1376</v>
      </c>
      <c r="G709" s="4">
        <v>25</v>
      </c>
      <c r="H709" s="4">
        <v>210</v>
      </c>
      <c r="I709" s="4">
        <v>4182127</v>
      </c>
      <c r="J709" s="4">
        <v>12</v>
      </c>
      <c r="K709" s="4">
        <v>17.5</v>
      </c>
      <c r="L709" s="4">
        <v>348510.58333333302</v>
      </c>
      <c r="M709" s="4">
        <v>19914.8904761905</v>
      </c>
      <c r="N709" s="4" t="s">
        <v>35</v>
      </c>
      <c r="O709" s="4">
        <v>0.31315572195679398</v>
      </c>
      <c r="P709" s="4">
        <v>0.22571926533099099</v>
      </c>
    </row>
    <row r="710" spans="1:16">
      <c r="A710" s="4" t="s">
        <v>1461</v>
      </c>
      <c r="B710" s="4" t="s">
        <v>1145</v>
      </c>
      <c r="C710" s="4" t="s">
        <v>1462</v>
      </c>
      <c r="D710" s="4" t="s">
        <v>41</v>
      </c>
      <c r="E710" s="4" t="s">
        <v>42</v>
      </c>
      <c r="F710" s="4" t="s">
        <v>1376</v>
      </c>
      <c r="G710" s="4">
        <v>25</v>
      </c>
      <c r="H710" s="4">
        <v>191</v>
      </c>
      <c r="I710" s="4">
        <v>4176930</v>
      </c>
      <c r="J710" s="4">
        <v>12</v>
      </c>
      <c r="K710" s="4">
        <v>15.9166666666667</v>
      </c>
      <c r="L710" s="4">
        <v>348077.5</v>
      </c>
      <c r="M710" s="4">
        <v>21868.743455497399</v>
      </c>
      <c r="N710" s="4" t="s">
        <v>51</v>
      </c>
      <c r="O710" s="4">
        <v>0.36803369939165897</v>
      </c>
      <c r="P710" s="4">
        <v>0.26267012932415901</v>
      </c>
    </row>
    <row r="711" spans="1:16">
      <c r="A711" s="4" t="s">
        <v>1463</v>
      </c>
      <c r="B711" s="4" t="s">
        <v>1145</v>
      </c>
      <c r="C711" s="4" t="s">
        <v>1464</v>
      </c>
      <c r="D711" s="4" t="s">
        <v>32</v>
      </c>
      <c r="E711" s="4" t="s">
        <v>67</v>
      </c>
      <c r="F711" s="4" t="s">
        <v>1376</v>
      </c>
      <c r="G711" s="4">
        <v>25</v>
      </c>
      <c r="H711" s="4">
        <v>195</v>
      </c>
      <c r="I711" s="4">
        <v>4170514</v>
      </c>
      <c r="J711" s="4">
        <v>12</v>
      </c>
      <c r="K711" s="4">
        <v>16.25</v>
      </c>
      <c r="L711" s="4">
        <v>347542.83333333302</v>
      </c>
      <c r="M711" s="4">
        <v>21387.2512820513</v>
      </c>
      <c r="N711" s="4" t="s">
        <v>68</v>
      </c>
      <c r="O711" s="4">
        <v>0.44274758459029301</v>
      </c>
      <c r="P711" s="4">
        <v>0.26434079382898701</v>
      </c>
    </row>
    <row r="712" spans="1:16">
      <c r="A712" s="4" t="s">
        <v>1465</v>
      </c>
      <c r="B712" s="4" t="s">
        <v>1145</v>
      </c>
      <c r="C712" s="4" t="s">
        <v>1466</v>
      </c>
      <c r="D712" s="4" t="s">
        <v>32</v>
      </c>
      <c r="E712" s="4" t="s">
        <v>33</v>
      </c>
      <c r="F712" s="4" t="s">
        <v>1376</v>
      </c>
      <c r="G712" s="4">
        <v>25</v>
      </c>
      <c r="H712" s="4">
        <v>221</v>
      </c>
      <c r="I712" s="4">
        <v>4160580</v>
      </c>
      <c r="J712" s="4">
        <v>12</v>
      </c>
      <c r="K712" s="4">
        <v>18.4166666666667</v>
      </c>
      <c r="L712" s="4">
        <v>346715</v>
      </c>
      <c r="M712" s="4">
        <v>18826.153846153898</v>
      </c>
      <c r="N712" s="4" t="s">
        <v>68</v>
      </c>
      <c r="O712" s="4">
        <v>0.50144859610919601</v>
      </c>
      <c r="P712" s="4">
        <v>0.30785738371832899</v>
      </c>
    </row>
    <row r="713" spans="1:16">
      <c r="A713" s="4" t="s">
        <v>1467</v>
      </c>
      <c r="B713" s="4" t="s">
        <v>1145</v>
      </c>
      <c r="C713" s="4" t="s">
        <v>1468</v>
      </c>
      <c r="D713" s="4" t="s">
        <v>41</v>
      </c>
      <c r="E713" s="4" t="s">
        <v>50</v>
      </c>
      <c r="F713" s="4" t="s">
        <v>1376</v>
      </c>
      <c r="G713" s="4">
        <v>25</v>
      </c>
      <c r="H713" s="4">
        <v>206</v>
      </c>
      <c r="I713" s="4">
        <v>4129060</v>
      </c>
      <c r="J713" s="4">
        <v>12</v>
      </c>
      <c r="K713" s="4">
        <v>17.1666666666667</v>
      </c>
      <c r="L713" s="4">
        <v>344088.33333333302</v>
      </c>
      <c r="M713" s="4">
        <v>20043.980582524298</v>
      </c>
      <c r="N713" s="4" t="s">
        <v>51</v>
      </c>
      <c r="O713" s="4">
        <v>0.36557061413493602</v>
      </c>
      <c r="P713" s="4">
        <v>0.22243433227389101</v>
      </c>
    </row>
    <row r="714" spans="1:16">
      <c r="A714" s="4" t="s">
        <v>1469</v>
      </c>
      <c r="B714" s="4" t="s">
        <v>1145</v>
      </c>
      <c r="C714" s="4" t="s">
        <v>1470</v>
      </c>
      <c r="D714" s="4" t="s">
        <v>32</v>
      </c>
      <c r="E714" s="4" t="s">
        <v>67</v>
      </c>
      <c r="F714" s="4" t="s">
        <v>1376</v>
      </c>
      <c r="G714" s="4">
        <v>25</v>
      </c>
      <c r="H714" s="4">
        <v>205</v>
      </c>
      <c r="I714" s="4">
        <v>4039277</v>
      </c>
      <c r="J714" s="4">
        <v>12</v>
      </c>
      <c r="K714" s="4">
        <v>17.0833333333333</v>
      </c>
      <c r="L714" s="4">
        <v>336606.41666666698</v>
      </c>
      <c r="M714" s="4">
        <v>19703.7902439024</v>
      </c>
      <c r="N714" s="4" t="s">
        <v>38</v>
      </c>
      <c r="O714" s="4">
        <v>0.344808736811068</v>
      </c>
      <c r="P714" s="4">
        <v>0.214872658481402</v>
      </c>
    </row>
    <row r="715" spans="1:16">
      <c r="A715" s="4" t="s">
        <v>1471</v>
      </c>
      <c r="B715" s="4" t="s">
        <v>1145</v>
      </c>
      <c r="C715" s="4" t="s">
        <v>1472</v>
      </c>
      <c r="D715" s="4" t="s">
        <v>41</v>
      </c>
      <c r="E715" s="4" t="s">
        <v>50</v>
      </c>
      <c r="F715" s="4" t="s">
        <v>1376</v>
      </c>
      <c r="G715" s="4">
        <v>25</v>
      </c>
      <c r="H715" s="4">
        <v>203</v>
      </c>
      <c r="I715" s="4">
        <v>4017753</v>
      </c>
      <c r="J715" s="4">
        <v>12</v>
      </c>
      <c r="K715" s="4">
        <v>16.9166666666667</v>
      </c>
      <c r="L715" s="4">
        <v>334812.75</v>
      </c>
      <c r="M715" s="4">
        <v>19791.886699507399</v>
      </c>
      <c r="N715" s="4" t="s">
        <v>54</v>
      </c>
      <c r="O715" s="4">
        <v>0.43931222252836399</v>
      </c>
      <c r="P715" s="4">
        <v>0.26771495956656399</v>
      </c>
    </row>
    <row r="716" spans="1:16">
      <c r="A716" s="4" t="s">
        <v>1473</v>
      </c>
      <c r="B716" s="4" t="s">
        <v>1145</v>
      </c>
      <c r="C716" s="4" t="s">
        <v>1474</v>
      </c>
      <c r="D716" s="4" t="s">
        <v>41</v>
      </c>
      <c r="E716" s="4" t="s">
        <v>42</v>
      </c>
      <c r="F716" s="4" t="s">
        <v>1376</v>
      </c>
      <c r="G716" s="4">
        <v>25</v>
      </c>
      <c r="H716" s="4">
        <v>217</v>
      </c>
      <c r="I716" s="4">
        <v>3964929</v>
      </c>
      <c r="J716" s="4">
        <v>12</v>
      </c>
      <c r="K716" s="4">
        <v>18.0833333333333</v>
      </c>
      <c r="L716" s="4">
        <v>330410.75</v>
      </c>
      <c r="M716" s="4">
        <v>18271.5622119816</v>
      </c>
      <c r="N716" s="4" t="s">
        <v>54</v>
      </c>
      <c r="O716" s="4">
        <v>0.27821557460423602</v>
      </c>
      <c r="P716" s="4">
        <v>0.21364528985124001</v>
      </c>
    </row>
    <row r="717" spans="1:16">
      <c r="A717" s="4" t="s">
        <v>1475</v>
      </c>
      <c r="B717" s="4" t="s">
        <v>1145</v>
      </c>
      <c r="C717" s="4" t="s">
        <v>1476</v>
      </c>
      <c r="D717" s="4" t="s">
        <v>32</v>
      </c>
      <c r="E717" s="4" t="s">
        <v>33</v>
      </c>
      <c r="F717" s="4" t="s">
        <v>1376</v>
      </c>
      <c r="G717" s="4">
        <v>25</v>
      </c>
      <c r="H717" s="4">
        <v>202</v>
      </c>
      <c r="I717" s="4">
        <v>3927833</v>
      </c>
      <c r="J717" s="4">
        <v>12</v>
      </c>
      <c r="K717" s="4">
        <v>16.8333333333333</v>
      </c>
      <c r="L717" s="4">
        <v>327319.41666666698</v>
      </c>
      <c r="M717" s="4">
        <v>19444.7178217822</v>
      </c>
      <c r="N717" s="4" t="s">
        <v>54</v>
      </c>
      <c r="O717" s="4">
        <v>0.302569890318657</v>
      </c>
      <c r="P717" s="4">
        <v>0.214107216126671</v>
      </c>
    </row>
    <row r="718" spans="1:16">
      <c r="A718" s="4" t="s">
        <v>1477</v>
      </c>
      <c r="B718" s="4" t="s">
        <v>1145</v>
      </c>
      <c r="C718" s="4" t="s">
        <v>1478</v>
      </c>
      <c r="D718" s="4" t="s">
        <v>41</v>
      </c>
      <c r="E718" s="4" t="s">
        <v>50</v>
      </c>
      <c r="F718" s="4" t="s">
        <v>1376</v>
      </c>
      <c r="G718" s="4">
        <v>25</v>
      </c>
      <c r="H718" s="4">
        <v>208</v>
      </c>
      <c r="I718" s="4">
        <v>3926971</v>
      </c>
      <c r="J718" s="4">
        <v>12</v>
      </c>
      <c r="K718" s="4">
        <v>17.3333333333333</v>
      </c>
      <c r="L718" s="4">
        <v>327247.58333333302</v>
      </c>
      <c r="M718" s="4">
        <v>18879.668269230799</v>
      </c>
      <c r="N718" s="4" t="s">
        <v>54</v>
      </c>
      <c r="O718" s="4">
        <v>0.29174674322779598</v>
      </c>
      <c r="P718" s="4">
        <v>0.21235180253407901</v>
      </c>
    </row>
    <row r="719" spans="1:16">
      <c r="A719" s="4" t="s">
        <v>1479</v>
      </c>
      <c r="B719" s="4" t="s">
        <v>1145</v>
      </c>
      <c r="C719" s="4" t="s">
        <v>1480</v>
      </c>
      <c r="D719" s="4" t="s">
        <v>32</v>
      </c>
      <c r="E719" s="4" t="s">
        <v>67</v>
      </c>
      <c r="F719" s="4" t="s">
        <v>1376</v>
      </c>
      <c r="G719" s="4">
        <v>25</v>
      </c>
      <c r="H719" s="4">
        <v>212</v>
      </c>
      <c r="I719" s="4">
        <v>3907690</v>
      </c>
      <c r="J719" s="4">
        <v>12</v>
      </c>
      <c r="K719" s="4">
        <v>17.6666666666667</v>
      </c>
      <c r="L719" s="4">
        <v>325640.83333333302</v>
      </c>
      <c r="M719" s="4">
        <v>18432.5</v>
      </c>
      <c r="N719" s="4" t="s">
        <v>35</v>
      </c>
      <c r="O719" s="4">
        <v>0.30619726743933101</v>
      </c>
      <c r="P719" s="4">
        <v>0.22792783098061201</v>
      </c>
    </row>
    <row r="720" spans="1:16">
      <c r="A720" s="4" t="s">
        <v>1481</v>
      </c>
      <c r="B720" s="4" t="s">
        <v>1145</v>
      </c>
      <c r="C720" s="4" t="s">
        <v>1482</v>
      </c>
      <c r="D720" s="4" t="s">
        <v>32</v>
      </c>
      <c r="E720" s="4" t="s">
        <v>33</v>
      </c>
      <c r="F720" s="4" t="s">
        <v>1376</v>
      </c>
      <c r="G720" s="4">
        <v>25</v>
      </c>
      <c r="H720" s="4">
        <v>206</v>
      </c>
      <c r="I720" s="4">
        <v>3897042</v>
      </c>
      <c r="J720" s="4">
        <v>12</v>
      </c>
      <c r="K720" s="4">
        <v>17.1666666666667</v>
      </c>
      <c r="L720" s="4">
        <v>324753.5</v>
      </c>
      <c r="M720" s="4">
        <v>18917.679611650499</v>
      </c>
      <c r="N720" s="4" t="s">
        <v>68</v>
      </c>
      <c r="O720" s="4">
        <v>0.31729860750795102</v>
      </c>
      <c r="P720" s="4">
        <v>0.239978874221109</v>
      </c>
    </row>
    <row r="721" spans="1:16">
      <c r="A721" s="4" t="s">
        <v>1483</v>
      </c>
      <c r="B721" s="4" t="s">
        <v>1145</v>
      </c>
      <c r="C721" s="4" t="s">
        <v>1484</v>
      </c>
      <c r="D721" s="4" t="s">
        <v>41</v>
      </c>
      <c r="E721" s="4" t="s">
        <v>50</v>
      </c>
      <c r="F721" s="4" t="s">
        <v>1376</v>
      </c>
      <c r="G721" s="4">
        <v>25</v>
      </c>
      <c r="H721" s="4">
        <v>212</v>
      </c>
      <c r="I721" s="4">
        <v>3884234.8</v>
      </c>
      <c r="J721" s="4">
        <v>12</v>
      </c>
      <c r="K721" s="4">
        <v>17.6666666666667</v>
      </c>
      <c r="L721" s="4">
        <v>323686.23333333299</v>
      </c>
      <c r="M721" s="4">
        <v>18321.862264150899</v>
      </c>
      <c r="N721" s="4" t="s">
        <v>35</v>
      </c>
      <c r="O721" s="4">
        <v>0.29675343004496002</v>
      </c>
      <c r="P721" s="4">
        <v>0.195629204039277</v>
      </c>
    </row>
    <row r="722" spans="1:16">
      <c r="A722" s="4" t="s">
        <v>1485</v>
      </c>
      <c r="B722" s="4" t="s">
        <v>1145</v>
      </c>
      <c r="C722" s="4" t="s">
        <v>1486</v>
      </c>
      <c r="D722" s="4" t="s">
        <v>32</v>
      </c>
      <c r="E722" s="4" t="s">
        <v>67</v>
      </c>
      <c r="F722" s="4" t="s">
        <v>1376</v>
      </c>
      <c r="G722" s="4">
        <v>25</v>
      </c>
      <c r="H722" s="4">
        <v>227</v>
      </c>
      <c r="I722" s="4">
        <v>3867089</v>
      </c>
      <c r="J722" s="4">
        <v>12</v>
      </c>
      <c r="K722" s="4">
        <v>18.9166666666667</v>
      </c>
      <c r="L722" s="4">
        <v>322257.41666666698</v>
      </c>
      <c r="M722" s="4">
        <v>17035.6343612335</v>
      </c>
      <c r="N722" s="4" t="s">
        <v>54</v>
      </c>
      <c r="O722" s="4">
        <v>0.27297768424776397</v>
      </c>
      <c r="P722" s="4">
        <v>0.187085174294812</v>
      </c>
    </row>
    <row r="723" spans="1:16">
      <c r="A723" s="4" t="s">
        <v>1487</v>
      </c>
      <c r="B723" s="4" t="s">
        <v>1145</v>
      </c>
      <c r="C723" s="4" t="s">
        <v>1488</v>
      </c>
      <c r="D723" s="4" t="s">
        <v>41</v>
      </c>
      <c r="E723" s="4" t="s">
        <v>50</v>
      </c>
      <c r="F723" s="4" t="s">
        <v>1376</v>
      </c>
      <c r="G723" s="4">
        <v>25</v>
      </c>
      <c r="H723" s="4">
        <v>209</v>
      </c>
      <c r="I723" s="4">
        <v>3849892</v>
      </c>
      <c r="J723" s="4">
        <v>12</v>
      </c>
      <c r="K723" s="4">
        <v>17.4166666666667</v>
      </c>
      <c r="L723" s="4">
        <v>320824.33333333302</v>
      </c>
      <c r="M723" s="4">
        <v>18420.535885167501</v>
      </c>
      <c r="N723" s="4" t="s">
        <v>38</v>
      </c>
      <c r="O723" s="4">
        <v>0.27929069179083499</v>
      </c>
      <c r="P723" s="4">
        <v>0.199063832850431</v>
      </c>
    </row>
    <row r="724" spans="1:16">
      <c r="A724" s="4" t="s">
        <v>1489</v>
      </c>
      <c r="B724" s="4" t="s">
        <v>1145</v>
      </c>
      <c r="C724" s="4" t="s">
        <v>1490</v>
      </c>
      <c r="D724" s="4" t="s">
        <v>41</v>
      </c>
      <c r="E724" s="4" t="s">
        <v>50</v>
      </c>
      <c r="F724" s="4" t="s">
        <v>1376</v>
      </c>
      <c r="G724" s="4">
        <v>25</v>
      </c>
      <c r="H724" s="4">
        <v>210</v>
      </c>
      <c r="I724" s="4">
        <v>3830684</v>
      </c>
      <c r="J724" s="4">
        <v>12</v>
      </c>
      <c r="K724" s="4">
        <v>17.5</v>
      </c>
      <c r="L724" s="4">
        <v>319223.66666666698</v>
      </c>
      <c r="M724" s="4">
        <v>18241.352380952401</v>
      </c>
      <c r="N724" s="4" t="s">
        <v>38</v>
      </c>
      <c r="O724" s="4">
        <v>0.52474962695957195</v>
      </c>
      <c r="P724" s="4">
        <v>0.33102061941017102</v>
      </c>
    </row>
    <row r="725" spans="1:16">
      <c r="A725" s="4" t="s">
        <v>1491</v>
      </c>
      <c r="B725" s="4" t="s">
        <v>1145</v>
      </c>
      <c r="C725" s="4" t="s">
        <v>1492</v>
      </c>
      <c r="D725" s="4" t="s">
        <v>32</v>
      </c>
      <c r="E725" s="4" t="s">
        <v>33</v>
      </c>
      <c r="F725" s="4" t="s">
        <v>1376</v>
      </c>
      <c r="G725" s="4">
        <v>25</v>
      </c>
      <c r="H725" s="4">
        <v>191</v>
      </c>
      <c r="I725" s="4">
        <v>3773857</v>
      </c>
      <c r="J725" s="4">
        <v>12</v>
      </c>
      <c r="K725" s="4">
        <v>15.9166666666667</v>
      </c>
      <c r="L725" s="4">
        <v>314488.08333333302</v>
      </c>
      <c r="M725" s="4">
        <v>19758.4136125654</v>
      </c>
      <c r="N725" s="4" t="s">
        <v>38</v>
      </c>
      <c r="O725" s="4">
        <v>0.589059150889925</v>
      </c>
      <c r="P725" s="4">
        <v>0.38513041500787698</v>
      </c>
    </row>
    <row r="726" spans="1:16">
      <c r="A726" s="4" t="s">
        <v>1493</v>
      </c>
      <c r="B726" s="4" t="s">
        <v>1145</v>
      </c>
      <c r="C726" s="4" t="s">
        <v>1494</v>
      </c>
      <c r="D726" s="4" t="s">
        <v>41</v>
      </c>
      <c r="E726" s="4" t="s">
        <v>42</v>
      </c>
      <c r="F726" s="4" t="s">
        <v>1376</v>
      </c>
      <c r="G726" s="4">
        <v>25</v>
      </c>
      <c r="H726" s="4">
        <v>183</v>
      </c>
      <c r="I726" s="4">
        <v>3768587</v>
      </c>
      <c r="J726" s="4">
        <v>12</v>
      </c>
      <c r="K726" s="4">
        <v>15.25</v>
      </c>
      <c r="L726" s="4">
        <v>314048.91666666698</v>
      </c>
      <c r="M726" s="4">
        <v>20593.3715846995</v>
      </c>
      <c r="N726" s="4" t="s">
        <v>54</v>
      </c>
      <c r="O726" s="4">
        <v>0.34088213964544301</v>
      </c>
      <c r="P726" s="4">
        <v>0.2202885738706</v>
      </c>
    </row>
    <row r="727" spans="1:16">
      <c r="A727" s="4" t="s">
        <v>1495</v>
      </c>
      <c r="B727" s="4" t="s">
        <v>1145</v>
      </c>
      <c r="C727" s="4" t="s">
        <v>1496</v>
      </c>
      <c r="D727" s="4" t="s">
        <v>41</v>
      </c>
      <c r="E727" s="4" t="s">
        <v>50</v>
      </c>
      <c r="F727" s="4" t="s">
        <v>1376</v>
      </c>
      <c r="G727" s="4">
        <v>25</v>
      </c>
      <c r="H727" s="4">
        <v>193</v>
      </c>
      <c r="I727" s="4">
        <v>3752993</v>
      </c>
      <c r="J727" s="4">
        <v>12</v>
      </c>
      <c r="K727" s="4">
        <v>16.0833333333333</v>
      </c>
      <c r="L727" s="4">
        <v>312749.41666666698</v>
      </c>
      <c r="M727" s="4">
        <v>19445.559585492199</v>
      </c>
      <c r="N727" s="4" t="s">
        <v>68</v>
      </c>
      <c r="O727" s="4">
        <v>0.29792594870280897</v>
      </c>
      <c r="P727" s="4">
        <v>0.23223096461855</v>
      </c>
    </row>
    <row r="728" spans="1:16">
      <c r="A728" s="4" t="s">
        <v>1497</v>
      </c>
      <c r="B728" s="4" t="s">
        <v>1145</v>
      </c>
      <c r="C728" s="4" t="s">
        <v>1498</v>
      </c>
      <c r="D728" s="4" t="s">
        <v>32</v>
      </c>
      <c r="E728" s="4" t="s">
        <v>67</v>
      </c>
      <c r="F728" s="4" t="s">
        <v>1376</v>
      </c>
      <c r="G728" s="4">
        <v>25</v>
      </c>
      <c r="H728" s="4">
        <v>205</v>
      </c>
      <c r="I728" s="4">
        <v>3707047</v>
      </c>
      <c r="J728" s="4">
        <v>12</v>
      </c>
      <c r="K728" s="4">
        <v>17.0833333333333</v>
      </c>
      <c r="L728" s="4">
        <v>308920.58333333302</v>
      </c>
      <c r="M728" s="4">
        <v>18083.156097561001</v>
      </c>
      <c r="N728" s="4" t="s">
        <v>68</v>
      </c>
      <c r="O728" s="4">
        <v>0.31226013589792601</v>
      </c>
      <c r="P728" s="4">
        <v>0.215410703652921</v>
      </c>
    </row>
    <row r="729" spans="1:16">
      <c r="A729" s="4" t="s">
        <v>1499</v>
      </c>
      <c r="B729" s="4" t="s">
        <v>1145</v>
      </c>
      <c r="C729" s="4" t="s">
        <v>1500</v>
      </c>
      <c r="D729" s="4" t="s">
        <v>41</v>
      </c>
      <c r="E729" s="4" t="s">
        <v>42</v>
      </c>
      <c r="F729" s="4" t="s">
        <v>1376</v>
      </c>
      <c r="G729" s="4">
        <v>25</v>
      </c>
      <c r="H729" s="4">
        <v>196</v>
      </c>
      <c r="I729" s="4">
        <v>3676546</v>
      </c>
      <c r="J729" s="4">
        <v>12</v>
      </c>
      <c r="K729" s="4">
        <v>16.3333333333333</v>
      </c>
      <c r="L729" s="4">
        <v>306378.83333333302</v>
      </c>
      <c r="M729" s="4">
        <v>18757.887755102001</v>
      </c>
      <c r="N729" s="4" t="s">
        <v>68</v>
      </c>
      <c r="O729" s="4">
        <v>0.39858796816359698</v>
      </c>
      <c r="P729" s="4">
        <v>0.239615096515926</v>
      </c>
    </row>
    <row r="730" spans="1:16">
      <c r="A730" s="4" t="s">
        <v>1501</v>
      </c>
      <c r="B730" s="4" t="s">
        <v>1145</v>
      </c>
      <c r="C730" s="4" t="s">
        <v>1502</v>
      </c>
      <c r="D730" s="4" t="s">
        <v>41</v>
      </c>
      <c r="E730" s="4" t="s">
        <v>42</v>
      </c>
      <c r="F730" s="4" t="s">
        <v>1376</v>
      </c>
      <c r="G730" s="4">
        <v>25</v>
      </c>
      <c r="H730" s="4">
        <v>207</v>
      </c>
      <c r="I730" s="4">
        <v>3665136</v>
      </c>
      <c r="J730" s="4">
        <v>12</v>
      </c>
      <c r="K730" s="4">
        <v>17.25</v>
      </c>
      <c r="L730" s="4">
        <v>305428</v>
      </c>
      <c r="M730" s="4">
        <v>17705.971014492799</v>
      </c>
      <c r="N730" s="4" t="s">
        <v>38</v>
      </c>
      <c r="O730" s="4">
        <v>0.31856253083105202</v>
      </c>
      <c r="P730" s="4">
        <v>0.22636136934985401</v>
      </c>
    </row>
    <row r="731" spans="1:16">
      <c r="A731" s="4" t="s">
        <v>1503</v>
      </c>
      <c r="B731" s="4" t="s">
        <v>1145</v>
      </c>
      <c r="C731" s="4" t="s">
        <v>1504</v>
      </c>
      <c r="D731" s="4" t="s">
        <v>32</v>
      </c>
      <c r="E731" s="4" t="s">
        <v>67</v>
      </c>
      <c r="F731" s="4" t="s">
        <v>1376</v>
      </c>
      <c r="G731" s="4">
        <v>25</v>
      </c>
      <c r="H731" s="4">
        <v>208</v>
      </c>
      <c r="I731" s="4">
        <v>3648594</v>
      </c>
      <c r="J731" s="4">
        <v>12</v>
      </c>
      <c r="K731" s="4">
        <v>17.3333333333333</v>
      </c>
      <c r="L731" s="4">
        <v>304049.5</v>
      </c>
      <c r="M731" s="4">
        <v>17541.317307692301</v>
      </c>
      <c r="N731" s="4" t="s">
        <v>38</v>
      </c>
      <c r="O731" s="4">
        <v>0.49709586761366198</v>
      </c>
      <c r="P731" s="4">
        <v>0.30051566663712098</v>
      </c>
    </row>
    <row r="732" spans="1:16">
      <c r="A732" s="4" t="s">
        <v>1505</v>
      </c>
      <c r="B732" s="4" t="s">
        <v>1145</v>
      </c>
      <c r="C732" s="4" t="s">
        <v>1506</v>
      </c>
      <c r="D732" s="4" t="s">
        <v>32</v>
      </c>
      <c r="E732" s="4" t="s">
        <v>67</v>
      </c>
      <c r="F732" s="4" t="s">
        <v>1376</v>
      </c>
      <c r="G732" s="4">
        <v>25</v>
      </c>
      <c r="H732" s="4">
        <v>211</v>
      </c>
      <c r="I732" s="4">
        <v>3631981</v>
      </c>
      <c r="J732" s="4">
        <v>12</v>
      </c>
      <c r="K732" s="4">
        <v>17.5833333333333</v>
      </c>
      <c r="L732" s="4">
        <v>302665.08333333302</v>
      </c>
      <c r="M732" s="4">
        <v>17213.180094786701</v>
      </c>
      <c r="N732" s="4" t="s">
        <v>54</v>
      </c>
      <c r="O732" s="4">
        <v>0.299061861832427</v>
      </c>
      <c r="P732" s="4">
        <v>0.200127165537521</v>
      </c>
    </row>
    <row r="733" spans="1:16">
      <c r="A733" s="4" t="s">
        <v>1507</v>
      </c>
      <c r="B733" s="4" t="s">
        <v>1145</v>
      </c>
      <c r="C733" s="4" t="s">
        <v>1508</v>
      </c>
      <c r="D733" s="4" t="s">
        <v>41</v>
      </c>
      <c r="E733" s="4" t="s">
        <v>42</v>
      </c>
      <c r="F733" s="4" t="s">
        <v>1376</v>
      </c>
      <c r="G733" s="4">
        <v>25</v>
      </c>
      <c r="H733" s="4">
        <v>186</v>
      </c>
      <c r="I733" s="4">
        <v>3627565</v>
      </c>
      <c r="J733" s="4">
        <v>12</v>
      </c>
      <c r="K733" s="4">
        <v>15.5</v>
      </c>
      <c r="L733" s="4">
        <v>302297.08333333302</v>
      </c>
      <c r="M733" s="4">
        <v>19503.0376344086</v>
      </c>
      <c r="N733" s="4" t="s">
        <v>54</v>
      </c>
      <c r="O733" s="4">
        <v>0.248105547385092</v>
      </c>
      <c r="P733" s="4">
        <v>0.18909029008213099</v>
      </c>
    </row>
    <row r="734" spans="1:16">
      <c r="A734" s="4" t="s">
        <v>1509</v>
      </c>
      <c r="B734" s="4" t="s">
        <v>1145</v>
      </c>
      <c r="C734" s="4" t="s">
        <v>1510</v>
      </c>
      <c r="D734" s="4" t="s">
        <v>32</v>
      </c>
      <c r="E734" s="4" t="s">
        <v>67</v>
      </c>
      <c r="F734" s="4" t="s">
        <v>1376</v>
      </c>
      <c r="G734" s="4">
        <v>25</v>
      </c>
      <c r="H734" s="4">
        <v>217</v>
      </c>
      <c r="I734" s="4">
        <v>3611190</v>
      </c>
      <c r="J734" s="4">
        <v>12</v>
      </c>
      <c r="K734" s="4">
        <v>18.0833333333333</v>
      </c>
      <c r="L734" s="4">
        <v>300932.5</v>
      </c>
      <c r="M734" s="4">
        <v>16641.428571428602</v>
      </c>
      <c r="N734" s="4" t="s">
        <v>54</v>
      </c>
      <c r="O734" s="4">
        <v>0.27509906706653497</v>
      </c>
      <c r="P734" s="4">
        <v>0.191883374701943</v>
      </c>
    </row>
    <row r="735" spans="1:16">
      <c r="A735" s="4" t="s">
        <v>1511</v>
      </c>
      <c r="B735" s="4" t="s">
        <v>1145</v>
      </c>
      <c r="C735" s="4" t="s">
        <v>1512</v>
      </c>
      <c r="D735" s="4" t="s">
        <v>32</v>
      </c>
      <c r="E735" s="4" t="s">
        <v>67</v>
      </c>
      <c r="F735" s="4" t="s">
        <v>1376</v>
      </c>
      <c r="G735" s="4">
        <v>25</v>
      </c>
      <c r="H735" s="4">
        <v>192</v>
      </c>
      <c r="I735" s="4">
        <v>3602060</v>
      </c>
      <c r="J735" s="4">
        <v>12</v>
      </c>
      <c r="K735" s="4">
        <v>16</v>
      </c>
      <c r="L735" s="4">
        <v>300171.66666666698</v>
      </c>
      <c r="M735" s="4">
        <v>18760.729166666701</v>
      </c>
      <c r="N735" s="4" t="s">
        <v>68</v>
      </c>
      <c r="O735" s="4">
        <v>0.27953115717117399</v>
      </c>
      <c r="P735" s="4">
        <v>0.198204181093731</v>
      </c>
    </row>
    <row r="736" spans="1:16">
      <c r="A736" s="4" t="s">
        <v>1513</v>
      </c>
      <c r="B736" s="4" t="s">
        <v>1145</v>
      </c>
      <c r="C736" s="4" t="s">
        <v>1514</v>
      </c>
      <c r="D736" s="4" t="s">
        <v>41</v>
      </c>
      <c r="E736" s="4" t="s">
        <v>42</v>
      </c>
      <c r="F736" s="4" t="s">
        <v>1376</v>
      </c>
      <c r="G736" s="4">
        <v>25</v>
      </c>
      <c r="H736" s="4">
        <v>230</v>
      </c>
      <c r="I736" s="4">
        <v>3560602</v>
      </c>
      <c r="J736" s="4">
        <v>12</v>
      </c>
      <c r="K736" s="4">
        <v>19.1666666666667</v>
      </c>
      <c r="L736" s="4">
        <v>296716.83333333302</v>
      </c>
      <c r="M736" s="4">
        <v>15480.8782608696</v>
      </c>
      <c r="N736" s="4" t="s">
        <v>54</v>
      </c>
      <c r="O736" s="4">
        <v>0.44288156890323599</v>
      </c>
      <c r="P736" s="4">
        <v>0.27877014988506299</v>
      </c>
    </row>
    <row r="737" spans="1:16">
      <c r="A737" s="4" t="s">
        <v>1515</v>
      </c>
      <c r="B737" s="4" t="s">
        <v>1145</v>
      </c>
      <c r="C737" s="4" t="s">
        <v>1516</v>
      </c>
      <c r="D737" s="4" t="s">
        <v>41</v>
      </c>
      <c r="E737" s="4" t="s">
        <v>50</v>
      </c>
      <c r="F737" s="4" t="s">
        <v>1376</v>
      </c>
      <c r="G737" s="4">
        <v>25</v>
      </c>
      <c r="H737" s="4">
        <v>214</v>
      </c>
      <c r="I737" s="4">
        <v>3553977</v>
      </c>
      <c r="J737" s="4">
        <v>12</v>
      </c>
      <c r="K737" s="4">
        <v>17.8333333333333</v>
      </c>
      <c r="L737" s="4">
        <v>296164.75</v>
      </c>
      <c r="M737" s="4">
        <v>16607.3691588785</v>
      </c>
      <c r="N737" s="4" t="s">
        <v>68</v>
      </c>
      <c r="O737" s="4">
        <v>0.245631583997308</v>
      </c>
      <c r="P737" s="4">
        <v>0.18517226889500699</v>
      </c>
    </row>
    <row r="738" spans="1:16">
      <c r="A738" s="4" t="s">
        <v>1517</v>
      </c>
      <c r="B738" s="4" t="s">
        <v>1145</v>
      </c>
      <c r="C738" s="4" t="s">
        <v>1518</v>
      </c>
      <c r="D738" s="4" t="s">
        <v>41</v>
      </c>
      <c r="E738" s="4" t="s">
        <v>42</v>
      </c>
      <c r="F738" s="4" t="s">
        <v>1376</v>
      </c>
      <c r="G738" s="4">
        <v>25</v>
      </c>
      <c r="H738" s="4">
        <v>189</v>
      </c>
      <c r="I738" s="4">
        <v>3536029</v>
      </c>
      <c r="J738" s="4">
        <v>12</v>
      </c>
      <c r="K738" s="4">
        <v>15.75</v>
      </c>
      <c r="L738" s="4">
        <v>294669.08333333302</v>
      </c>
      <c r="M738" s="4">
        <v>18709.148148148201</v>
      </c>
      <c r="N738" s="4" t="s">
        <v>38</v>
      </c>
      <c r="O738" s="4">
        <v>0.33528005567827601</v>
      </c>
      <c r="P738" s="4">
        <v>0.22122654303022901</v>
      </c>
    </row>
    <row r="739" spans="1:16">
      <c r="A739" s="4" t="s">
        <v>1519</v>
      </c>
      <c r="B739" s="4" t="s">
        <v>1145</v>
      </c>
      <c r="C739" s="4" t="s">
        <v>1520</v>
      </c>
      <c r="D739" s="4" t="s">
        <v>41</v>
      </c>
      <c r="E739" s="4" t="s">
        <v>50</v>
      </c>
      <c r="F739" s="4" t="s">
        <v>1376</v>
      </c>
      <c r="G739" s="4">
        <v>25</v>
      </c>
      <c r="H739" s="4">
        <v>214</v>
      </c>
      <c r="I739" s="4">
        <v>3507057</v>
      </c>
      <c r="J739" s="4">
        <v>12</v>
      </c>
      <c r="K739" s="4">
        <v>17.8333333333333</v>
      </c>
      <c r="L739" s="4">
        <v>292254.75</v>
      </c>
      <c r="M739" s="4">
        <v>16388.1168224299</v>
      </c>
      <c r="N739" s="4" t="s">
        <v>54</v>
      </c>
      <c r="O739" s="4">
        <v>0.55500723255994999</v>
      </c>
      <c r="P739" s="4">
        <v>0.35329563694543198</v>
      </c>
    </row>
    <row r="740" spans="1:16">
      <c r="A740" s="4" t="s">
        <v>1521</v>
      </c>
      <c r="B740" s="4" t="s">
        <v>1145</v>
      </c>
      <c r="C740" s="4" t="s">
        <v>1522</v>
      </c>
      <c r="D740" s="4" t="s">
        <v>32</v>
      </c>
      <c r="E740" s="4" t="s">
        <v>67</v>
      </c>
      <c r="F740" s="4" t="s">
        <v>1376</v>
      </c>
      <c r="G740" s="4">
        <v>25</v>
      </c>
      <c r="H740" s="4">
        <v>214</v>
      </c>
      <c r="I740" s="4">
        <v>3501226</v>
      </c>
      <c r="J740" s="4">
        <v>12</v>
      </c>
      <c r="K740" s="4">
        <v>17.8333333333333</v>
      </c>
      <c r="L740" s="4">
        <v>291768.83333333302</v>
      </c>
      <c r="M740" s="4">
        <v>16360.8691588785</v>
      </c>
      <c r="N740" s="4" t="s">
        <v>38</v>
      </c>
      <c r="O740" s="4">
        <v>0.315861072664261</v>
      </c>
      <c r="P740" s="4">
        <v>0.21037206734618999</v>
      </c>
    </row>
    <row r="741" spans="1:16">
      <c r="A741" s="4" t="s">
        <v>1523</v>
      </c>
      <c r="B741" s="4" t="s">
        <v>1145</v>
      </c>
      <c r="C741" s="4" t="s">
        <v>1524</v>
      </c>
      <c r="D741" s="4" t="s">
        <v>41</v>
      </c>
      <c r="E741" s="4" t="s">
        <v>50</v>
      </c>
      <c r="F741" s="4" t="s">
        <v>1376</v>
      </c>
      <c r="G741" s="4">
        <v>25</v>
      </c>
      <c r="H741" s="4">
        <v>197</v>
      </c>
      <c r="I741" s="4">
        <v>3495786</v>
      </c>
      <c r="J741" s="4">
        <v>12</v>
      </c>
      <c r="K741" s="4">
        <v>16.4166666666667</v>
      </c>
      <c r="L741" s="4">
        <v>291315.5</v>
      </c>
      <c r="M741" s="4">
        <v>17745.106598984799</v>
      </c>
      <c r="N741" s="4" t="s">
        <v>38</v>
      </c>
      <c r="O741" s="4">
        <v>0.41564300560732298</v>
      </c>
      <c r="P741" s="4">
        <v>0.252367367524654</v>
      </c>
    </row>
    <row r="742" spans="1:16">
      <c r="A742" s="4" t="s">
        <v>1525</v>
      </c>
      <c r="B742" s="4" t="s">
        <v>1145</v>
      </c>
      <c r="C742" s="4" t="s">
        <v>1526</v>
      </c>
      <c r="D742" s="4" t="s">
        <v>41</v>
      </c>
      <c r="E742" s="4" t="s">
        <v>50</v>
      </c>
      <c r="F742" s="4" t="s">
        <v>1376</v>
      </c>
      <c r="G742" s="4">
        <v>25</v>
      </c>
      <c r="H742" s="4">
        <v>210</v>
      </c>
      <c r="I742" s="4">
        <v>3484514</v>
      </c>
      <c r="J742" s="4">
        <v>12</v>
      </c>
      <c r="K742" s="4">
        <v>17.5</v>
      </c>
      <c r="L742" s="4">
        <v>290376.16666666698</v>
      </c>
      <c r="M742" s="4">
        <v>16592.9238095238</v>
      </c>
      <c r="N742" s="4" t="s">
        <v>54</v>
      </c>
      <c r="O742" s="4">
        <v>0.24087462412261801</v>
      </c>
      <c r="P742" s="4">
        <v>0.18841229118943401</v>
      </c>
    </row>
    <row r="743" spans="1:16">
      <c r="A743" s="4" t="s">
        <v>1527</v>
      </c>
      <c r="B743" s="4" t="s">
        <v>1145</v>
      </c>
      <c r="C743" s="4" t="s">
        <v>1528</v>
      </c>
      <c r="D743" s="4" t="s">
        <v>41</v>
      </c>
      <c r="E743" s="4" t="s">
        <v>42</v>
      </c>
      <c r="F743" s="4" t="s">
        <v>1376</v>
      </c>
      <c r="G743" s="4">
        <v>25</v>
      </c>
      <c r="H743" s="4">
        <v>213</v>
      </c>
      <c r="I743" s="4">
        <v>3483214</v>
      </c>
      <c r="J743" s="4">
        <v>12</v>
      </c>
      <c r="K743" s="4">
        <v>17.75</v>
      </c>
      <c r="L743" s="4">
        <v>290267.83333333302</v>
      </c>
      <c r="M743" s="4">
        <v>16353.117370892</v>
      </c>
      <c r="N743" s="4" t="s">
        <v>35</v>
      </c>
      <c r="O743" s="4">
        <v>0.39770941435122897</v>
      </c>
      <c r="P743" s="4">
        <v>0.24651640989394499</v>
      </c>
    </row>
    <row r="744" spans="1:16">
      <c r="A744" s="4" t="s">
        <v>1529</v>
      </c>
      <c r="B744" s="4" t="s">
        <v>1145</v>
      </c>
      <c r="C744" s="4" t="s">
        <v>1530</v>
      </c>
      <c r="D744" s="4" t="s">
        <v>32</v>
      </c>
      <c r="E744" s="4" t="s">
        <v>33</v>
      </c>
      <c r="F744" s="4" t="s">
        <v>1376</v>
      </c>
      <c r="G744" s="4">
        <v>25</v>
      </c>
      <c r="H744" s="4">
        <v>218</v>
      </c>
      <c r="I744" s="4">
        <v>3432986</v>
      </c>
      <c r="J744" s="4">
        <v>12</v>
      </c>
      <c r="K744" s="4">
        <v>18.1666666666667</v>
      </c>
      <c r="L744" s="4">
        <v>286082.16666666698</v>
      </c>
      <c r="M744" s="4">
        <v>15747.6422018349</v>
      </c>
      <c r="N744" s="4" t="s">
        <v>68</v>
      </c>
      <c r="O744" s="4">
        <v>0.32241086913841199</v>
      </c>
      <c r="P744" s="4">
        <v>0.21725978455242301</v>
      </c>
    </row>
    <row r="745" spans="1:16">
      <c r="A745" s="4" t="s">
        <v>1531</v>
      </c>
      <c r="B745" s="4" t="s">
        <v>1145</v>
      </c>
      <c r="C745" s="4" t="s">
        <v>1532</v>
      </c>
      <c r="D745" s="4" t="s">
        <v>32</v>
      </c>
      <c r="E745" s="4" t="s">
        <v>67</v>
      </c>
      <c r="F745" s="4" t="s">
        <v>1376</v>
      </c>
      <c r="G745" s="4">
        <v>25</v>
      </c>
      <c r="H745" s="4">
        <v>201</v>
      </c>
      <c r="I745" s="4">
        <v>3426586</v>
      </c>
      <c r="J745" s="4">
        <v>12</v>
      </c>
      <c r="K745" s="4">
        <v>16.75</v>
      </c>
      <c r="L745" s="4">
        <v>285548.83333333302</v>
      </c>
      <c r="M745" s="4">
        <v>17047.691542288601</v>
      </c>
      <c r="N745" s="4" t="s">
        <v>51</v>
      </c>
      <c r="O745" s="4">
        <v>0.61763953976348496</v>
      </c>
      <c r="P745" s="4">
        <v>0.42008756692993998</v>
      </c>
    </row>
    <row r="746" spans="1:16">
      <c r="A746" s="4" t="s">
        <v>1533</v>
      </c>
      <c r="B746" s="4" t="s">
        <v>1145</v>
      </c>
      <c r="C746" s="4" t="s">
        <v>1534</v>
      </c>
      <c r="D746" s="4" t="s">
        <v>41</v>
      </c>
      <c r="E746" s="4" t="s">
        <v>42</v>
      </c>
      <c r="F746" s="4" t="s">
        <v>1376</v>
      </c>
      <c r="G746" s="4">
        <v>25</v>
      </c>
      <c r="H746" s="4">
        <v>206</v>
      </c>
      <c r="I746" s="4">
        <v>3408632</v>
      </c>
      <c r="J746" s="4">
        <v>12</v>
      </c>
      <c r="K746" s="4">
        <v>17.1666666666667</v>
      </c>
      <c r="L746" s="4">
        <v>284052.66666666698</v>
      </c>
      <c r="M746" s="4">
        <v>16546.7572815534</v>
      </c>
      <c r="N746" s="4" t="s">
        <v>47</v>
      </c>
      <c r="O746" s="4">
        <v>0.373279368380042</v>
      </c>
      <c r="P746" s="4">
        <v>0.240394126096659</v>
      </c>
    </row>
    <row r="747" spans="1:16">
      <c r="A747" s="4" t="s">
        <v>1535</v>
      </c>
      <c r="B747" s="4" t="s">
        <v>1145</v>
      </c>
      <c r="C747" s="4" t="s">
        <v>1536</v>
      </c>
      <c r="D747" s="4" t="s">
        <v>41</v>
      </c>
      <c r="E747" s="4" t="s">
        <v>50</v>
      </c>
      <c r="F747" s="4" t="s">
        <v>1376</v>
      </c>
      <c r="G747" s="4">
        <v>25</v>
      </c>
      <c r="H747" s="4">
        <v>204</v>
      </c>
      <c r="I747" s="4">
        <v>3381766</v>
      </c>
      <c r="J747" s="4">
        <v>12</v>
      </c>
      <c r="K747" s="4">
        <v>17</v>
      </c>
      <c r="L747" s="4">
        <v>281813.83333333302</v>
      </c>
      <c r="M747" s="4">
        <v>16577.2843137255</v>
      </c>
      <c r="N747" s="4" t="s">
        <v>38</v>
      </c>
      <c r="O747" s="4">
        <v>0.30472540087043298</v>
      </c>
      <c r="P747" s="4">
        <v>0.20462650573125901</v>
      </c>
    </row>
    <row r="748" spans="1:16">
      <c r="A748" s="4" t="s">
        <v>1537</v>
      </c>
      <c r="B748" s="4" t="s">
        <v>1145</v>
      </c>
      <c r="C748" s="4" t="s">
        <v>1538</v>
      </c>
      <c r="D748" s="4" t="s">
        <v>41</v>
      </c>
      <c r="E748" s="4" t="s">
        <v>50</v>
      </c>
      <c r="F748" s="4" t="s">
        <v>1376</v>
      </c>
      <c r="G748" s="4">
        <v>25</v>
      </c>
      <c r="H748" s="4">
        <v>205</v>
      </c>
      <c r="I748" s="4">
        <v>3352381</v>
      </c>
      <c r="J748" s="4">
        <v>12</v>
      </c>
      <c r="K748" s="4">
        <v>17.0833333333333</v>
      </c>
      <c r="L748" s="4">
        <v>279365.08333333302</v>
      </c>
      <c r="M748" s="4">
        <v>16353.0780487805</v>
      </c>
      <c r="N748" s="4" t="s">
        <v>35</v>
      </c>
      <c r="O748" s="4">
        <v>0.254156075935283</v>
      </c>
      <c r="P748" s="4">
        <v>0.19258287550844699</v>
      </c>
    </row>
    <row r="749" spans="1:16">
      <c r="A749" s="4" t="s">
        <v>1539</v>
      </c>
      <c r="B749" s="4" t="s">
        <v>1145</v>
      </c>
      <c r="C749" s="4" t="s">
        <v>1540</v>
      </c>
      <c r="D749" s="4" t="s">
        <v>41</v>
      </c>
      <c r="E749" s="4" t="s">
        <v>42</v>
      </c>
      <c r="F749" s="4" t="s">
        <v>1376</v>
      </c>
      <c r="G749" s="4">
        <v>25</v>
      </c>
      <c r="H749" s="4">
        <v>217</v>
      </c>
      <c r="I749" s="4">
        <v>3341084</v>
      </c>
      <c r="J749" s="4">
        <v>12</v>
      </c>
      <c r="K749" s="4">
        <v>18.0833333333333</v>
      </c>
      <c r="L749" s="4">
        <v>278423.66666666698</v>
      </c>
      <c r="M749" s="4">
        <v>15396.700460829499</v>
      </c>
      <c r="N749" s="4" t="s">
        <v>51</v>
      </c>
      <c r="O749" s="4">
        <v>0.303853180584505</v>
      </c>
      <c r="P749" s="4">
        <v>0.197079866300751</v>
      </c>
    </row>
    <row r="750" spans="1:16">
      <c r="A750" s="4" t="s">
        <v>1541</v>
      </c>
      <c r="B750" s="4" t="s">
        <v>1145</v>
      </c>
      <c r="C750" s="4" t="s">
        <v>1542</v>
      </c>
      <c r="D750" s="4" t="s">
        <v>32</v>
      </c>
      <c r="E750" s="4" t="s">
        <v>33</v>
      </c>
      <c r="F750" s="4" t="s">
        <v>1376</v>
      </c>
      <c r="G750" s="4">
        <v>25</v>
      </c>
      <c r="H750" s="4">
        <v>220</v>
      </c>
      <c r="I750" s="4">
        <v>3319091</v>
      </c>
      <c r="J750" s="4">
        <v>12</v>
      </c>
      <c r="K750" s="4">
        <v>18.3333333333333</v>
      </c>
      <c r="L750" s="4">
        <v>276590.91666666698</v>
      </c>
      <c r="M750" s="4">
        <v>15086.7772727273</v>
      </c>
      <c r="N750" s="4" t="s">
        <v>54</v>
      </c>
      <c r="O750" s="4">
        <v>0.44770631477112299</v>
      </c>
      <c r="P750" s="4">
        <v>0.267606824136433</v>
      </c>
    </row>
    <row r="751" spans="1:16">
      <c r="A751" s="4" t="s">
        <v>1543</v>
      </c>
      <c r="B751" s="4" t="s">
        <v>1145</v>
      </c>
      <c r="C751" s="4" t="s">
        <v>1544</v>
      </c>
      <c r="D751" s="4" t="s">
        <v>32</v>
      </c>
      <c r="E751" s="4" t="s">
        <v>67</v>
      </c>
      <c r="F751" s="4" t="s">
        <v>1376</v>
      </c>
      <c r="G751" s="4">
        <v>25</v>
      </c>
      <c r="H751" s="4">
        <v>217</v>
      </c>
      <c r="I751" s="4">
        <v>3312361</v>
      </c>
      <c r="J751" s="4">
        <v>12</v>
      </c>
      <c r="K751" s="4">
        <v>18.0833333333333</v>
      </c>
      <c r="L751" s="4">
        <v>276030.08333333302</v>
      </c>
      <c r="M751" s="4">
        <v>15264.336405530001</v>
      </c>
      <c r="N751" s="4" t="s">
        <v>47</v>
      </c>
      <c r="O751" s="4">
        <v>0.24556562524434999</v>
      </c>
      <c r="P751" s="4">
        <v>0.19955831790769299</v>
      </c>
    </row>
    <row r="752" spans="1:16">
      <c r="A752" s="4" t="s">
        <v>1545</v>
      </c>
      <c r="B752" s="4" t="s">
        <v>1145</v>
      </c>
      <c r="C752" s="4" t="s">
        <v>1546</v>
      </c>
      <c r="D752" s="4" t="s">
        <v>32</v>
      </c>
      <c r="E752" s="4" t="s">
        <v>33</v>
      </c>
      <c r="F752" s="4" t="s">
        <v>1376</v>
      </c>
      <c r="G752" s="4">
        <v>25</v>
      </c>
      <c r="H752" s="4">
        <v>212</v>
      </c>
      <c r="I752" s="4">
        <v>3293958</v>
      </c>
      <c r="J752" s="4">
        <v>12</v>
      </c>
      <c r="K752" s="4">
        <v>17.6666666666667</v>
      </c>
      <c r="L752" s="4">
        <v>274496.5</v>
      </c>
      <c r="M752" s="4">
        <v>15537.5377358491</v>
      </c>
      <c r="N752" s="4" t="s">
        <v>38</v>
      </c>
      <c r="O752" s="4">
        <v>0.25022693064088902</v>
      </c>
      <c r="P752" s="4">
        <v>0.197989537071109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zoomScaleNormal="100" workbookViewId="0"/>
  </sheetViews>
  <sheetFormatPr defaultColWidth="8.7109375" defaultRowHeight="15"/>
  <cols>
    <col min="1" max="3" width="10" customWidth="1"/>
    <col min="4" max="4" width="11" customWidth="1"/>
    <col min="5" max="5" width="12" customWidth="1"/>
    <col min="6" max="6" width="20" customWidth="1"/>
    <col min="7" max="7" width="14" customWidth="1"/>
    <col min="8" max="9" width="10" customWidth="1"/>
    <col min="10" max="10" width="50" customWidth="1"/>
    <col min="11" max="11" width="19" customWidth="1"/>
    <col min="12" max="12" width="17" customWidth="1"/>
  </cols>
  <sheetData>
    <row r="1" spans="1:12">
      <c r="A1" s="3" t="s">
        <v>1547</v>
      </c>
      <c r="B1" s="3" t="s">
        <v>1548</v>
      </c>
      <c r="C1" s="3" t="s">
        <v>19</v>
      </c>
      <c r="D1" s="3" t="s">
        <v>20</v>
      </c>
      <c r="E1" s="3" t="s">
        <v>21</v>
      </c>
      <c r="F1" s="3" t="s">
        <v>24</v>
      </c>
      <c r="G1" s="3" t="s">
        <v>22</v>
      </c>
      <c r="H1" s="3" t="s">
        <v>1549</v>
      </c>
      <c r="I1" s="3" t="s">
        <v>1550</v>
      </c>
      <c r="J1" s="3" t="s">
        <v>18</v>
      </c>
      <c r="K1" s="3" t="s">
        <v>1551</v>
      </c>
      <c r="L1" s="3" t="s">
        <v>1552</v>
      </c>
    </row>
    <row r="2" spans="1:12">
      <c r="A2" s="4">
        <v>3</v>
      </c>
      <c r="B2" s="4">
        <v>211</v>
      </c>
      <c r="C2" s="4">
        <v>1</v>
      </c>
      <c r="D2" s="4">
        <v>392.4</v>
      </c>
      <c r="E2" s="4">
        <v>26828274.699999999</v>
      </c>
      <c r="F2" s="4">
        <v>559214.69999999995</v>
      </c>
      <c r="G2" s="4">
        <v>48</v>
      </c>
      <c r="H2" s="4" t="b">
        <f>TRUE()</f>
        <v>1</v>
      </c>
      <c r="I2" s="4" t="s">
        <v>1553</v>
      </c>
      <c r="J2" s="4" t="s">
        <v>724</v>
      </c>
      <c r="K2" s="4">
        <v>28.1</v>
      </c>
      <c r="L2" s="4">
        <v>48</v>
      </c>
    </row>
    <row r="3" spans="1:12">
      <c r="A3" s="4">
        <v>1</v>
      </c>
      <c r="B3" s="4">
        <v>340</v>
      </c>
      <c r="C3" s="4">
        <v>1</v>
      </c>
      <c r="D3" s="4">
        <v>384.7</v>
      </c>
      <c r="E3" s="4">
        <v>16051005.5</v>
      </c>
      <c r="F3" s="4">
        <v>334553</v>
      </c>
      <c r="G3" s="4">
        <v>48</v>
      </c>
      <c r="H3" s="4" t="b">
        <f>TRUE()</f>
        <v>1</v>
      </c>
      <c r="I3" s="4" t="s">
        <v>1553</v>
      </c>
      <c r="J3" s="4" t="s">
        <v>34</v>
      </c>
      <c r="K3" s="4">
        <v>45.3</v>
      </c>
      <c r="L3" s="4">
        <v>46.3</v>
      </c>
    </row>
    <row r="4" spans="1:12">
      <c r="A4" s="4">
        <v>2</v>
      </c>
      <c r="B4" s="4">
        <v>86</v>
      </c>
      <c r="C4" s="4">
        <v>25</v>
      </c>
      <c r="D4" s="4">
        <v>206.9</v>
      </c>
      <c r="E4" s="4">
        <v>4326796</v>
      </c>
      <c r="F4" s="4">
        <v>360566.3</v>
      </c>
      <c r="G4" s="4">
        <v>12</v>
      </c>
      <c r="H4" s="4" t="b">
        <f>FALSE()</f>
        <v>0</v>
      </c>
      <c r="I4" s="4" t="s">
        <v>1554</v>
      </c>
      <c r="J4" s="4" t="s">
        <v>1376</v>
      </c>
      <c r="K4" s="4">
        <v>11.5</v>
      </c>
      <c r="L4" s="4">
        <v>3.2</v>
      </c>
    </row>
    <row r="5" spans="1:12">
      <c r="A5" s="4">
        <v>0</v>
      </c>
      <c r="B5" s="4">
        <v>114</v>
      </c>
      <c r="C5" s="4">
        <v>25</v>
      </c>
      <c r="D5" s="4">
        <v>199.1</v>
      </c>
      <c r="E5" s="4">
        <v>2708555.7</v>
      </c>
      <c r="F5" s="4">
        <v>225713</v>
      </c>
      <c r="G5" s="4">
        <v>12</v>
      </c>
      <c r="H5" s="4" t="b">
        <f>FALSE()</f>
        <v>0</v>
      </c>
      <c r="I5" s="4" t="s">
        <v>1554</v>
      </c>
      <c r="J5" s="4" t="s">
        <v>1147</v>
      </c>
      <c r="K5" s="4">
        <v>15.2</v>
      </c>
      <c r="L5" s="4">
        <v>2.6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/>
  </sheetViews>
  <sheetFormatPr defaultColWidth="8.7109375" defaultRowHeight="15"/>
  <cols>
    <col min="1" max="1" width="50" customWidth="1"/>
    <col min="2" max="2" width="12" customWidth="1"/>
    <col min="3" max="3" width="13" customWidth="1"/>
    <col min="4" max="5" width="10" customWidth="1"/>
  </cols>
  <sheetData>
    <row r="1" spans="1:5">
      <c r="A1" s="3"/>
      <c r="B1" s="3"/>
      <c r="C1" s="3"/>
      <c r="D1" s="3"/>
      <c r="E1" s="3"/>
    </row>
    <row r="2" spans="1:5">
      <c r="A2" s="4" t="s">
        <v>18</v>
      </c>
      <c r="B2" s="4" t="s">
        <v>32</v>
      </c>
      <c r="C2" s="4" t="s">
        <v>41</v>
      </c>
      <c r="D2" s="4"/>
      <c r="E2" s="4"/>
    </row>
    <row r="3" spans="1:5">
      <c r="A3" s="4" t="s">
        <v>724</v>
      </c>
      <c r="B3" s="4">
        <v>45.5</v>
      </c>
      <c r="C3" s="4">
        <v>54.5</v>
      </c>
      <c r="D3" s="4"/>
      <c r="E3" s="4"/>
    </row>
    <row r="4" spans="1:5">
      <c r="A4" s="4" t="s">
        <v>34</v>
      </c>
      <c r="B4" s="4">
        <v>50</v>
      </c>
      <c r="C4" s="4">
        <v>50</v>
      </c>
      <c r="D4" s="4"/>
      <c r="E4" s="4"/>
    </row>
    <row r="5" spans="1:5">
      <c r="A5" s="4" t="s">
        <v>1376</v>
      </c>
      <c r="B5" s="4">
        <v>41.9</v>
      </c>
      <c r="C5" s="4">
        <v>58.1</v>
      </c>
      <c r="D5" s="4"/>
      <c r="E5" s="4"/>
    </row>
    <row r="6" spans="1:5">
      <c r="A6" s="4" t="s">
        <v>1147</v>
      </c>
      <c r="B6" s="4">
        <v>60.5</v>
      </c>
      <c r="C6" s="4">
        <v>39.5</v>
      </c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 t="s">
        <v>18</v>
      </c>
      <c r="B9" s="4" t="s">
        <v>33</v>
      </c>
      <c r="C9" s="4" t="s">
        <v>50</v>
      </c>
      <c r="D9" s="4" t="s">
        <v>67</v>
      </c>
      <c r="E9" s="4" t="s">
        <v>42</v>
      </c>
    </row>
    <row r="10" spans="1:5">
      <c r="A10" s="4" t="s">
        <v>724</v>
      </c>
      <c r="B10" s="4">
        <v>26.1</v>
      </c>
      <c r="C10" s="4">
        <v>25.6</v>
      </c>
      <c r="D10" s="4">
        <v>19.399999999999999</v>
      </c>
      <c r="E10" s="4">
        <v>28.9</v>
      </c>
    </row>
    <row r="11" spans="1:5">
      <c r="A11" s="4" t="s">
        <v>34</v>
      </c>
      <c r="B11" s="4">
        <v>27.4</v>
      </c>
      <c r="C11" s="4">
        <v>23.8</v>
      </c>
      <c r="D11" s="4">
        <v>22.6</v>
      </c>
      <c r="E11" s="4">
        <v>26.2</v>
      </c>
    </row>
    <row r="12" spans="1:5">
      <c r="A12" s="4" t="s">
        <v>1376</v>
      </c>
      <c r="B12" s="4">
        <v>17.399999999999999</v>
      </c>
      <c r="C12" s="4">
        <v>25.6</v>
      </c>
      <c r="D12" s="4">
        <v>24.4</v>
      </c>
      <c r="E12" s="4">
        <v>32.6</v>
      </c>
    </row>
    <row r="13" spans="1:5">
      <c r="A13" s="4" t="s">
        <v>1147</v>
      </c>
      <c r="B13" s="4">
        <v>24.6</v>
      </c>
      <c r="C13" s="4">
        <v>20.2</v>
      </c>
      <c r="D13" s="4">
        <v>36</v>
      </c>
      <c r="E13" s="4">
        <v>19.3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zoomScaleNormal="100" workbookViewId="0"/>
  </sheetViews>
  <sheetFormatPr defaultColWidth="8.7109375" defaultRowHeight="15"/>
  <cols>
    <col min="1" max="1" width="50" customWidth="1"/>
    <col min="2" max="2" width="12" customWidth="1"/>
    <col min="3" max="3" width="13" customWidth="1"/>
    <col min="4" max="5" width="14" customWidth="1"/>
    <col min="6" max="6" width="13" customWidth="1"/>
    <col min="7" max="7" width="18" customWidth="1"/>
  </cols>
  <sheetData>
    <row r="1" spans="1:7">
      <c r="A1" s="3" t="s">
        <v>18</v>
      </c>
      <c r="B1" s="3" t="s">
        <v>51</v>
      </c>
      <c r="C1" s="3" t="s">
        <v>47</v>
      </c>
      <c r="D1" s="3" t="s">
        <v>38</v>
      </c>
      <c r="E1" s="3" t="s">
        <v>68</v>
      </c>
      <c r="F1" s="3" t="s">
        <v>54</v>
      </c>
      <c r="G1" s="3" t="s">
        <v>35</v>
      </c>
    </row>
    <row r="2" spans="1:7">
      <c r="A2" s="4" t="s">
        <v>724</v>
      </c>
      <c r="B2" s="4">
        <v>23.7</v>
      </c>
      <c r="C2" s="4">
        <v>13.3</v>
      </c>
      <c r="D2" s="4">
        <v>10.9</v>
      </c>
      <c r="E2" s="4">
        <v>15.6</v>
      </c>
      <c r="F2" s="4">
        <v>17.100000000000001</v>
      </c>
      <c r="G2" s="4">
        <v>19.399999999999999</v>
      </c>
    </row>
    <row r="3" spans="1:7">
      <c r="A3" s="4" t="s">
        <v>34</v>
      </c>
      <c r="B3" s="4">
        <v>26.2</v>
      </c>
      <c r="C3" s="4">
        <v>11.2</v>
      </c>
      <c r="D3" s="4">
        <v>4.7</v>
      </c>
      <c r="E3" s="4">
        <v>12.4</v>
      </c>
      <c r="F3" s="4">
        <v>28.8</v>
      </c>
      <c r="G3" s="4">
        <v>16.8</v>
      </c>
    </row>
    <row r="4" spans="1:7">
      <c r="A4" s="4" t="s">
        <v>1376</v>
      </c>
      <c r="B4" s="4">
        <v>12.8</v>
      </c>
      <c r="C4" s="4">
        <v>12.8</v>
      </c>
      <c r="D4" s="4">
        <v>16.3</v>
      </c>
      <c r="E4" s="4">
        <v>16.3</v>
      </c>
      <c r="F4" s="4">
        <v>22.1</v>
      </c>
      <c r="G4" s="4">
        <v>19.8</v>
      </c>
    </row>
    <row r="5" spans="1:7">
      <c r="A5" s="4" t="s">
        <v>1147</v>
      </c>
      <c r="B5" s="4">
        <v>14.9</v>
      </c>
      <c r="C5" s="4">
        <v>14.9</v>
      </c>
      <c r="D5" s="4">
        <v>6.1</v>
      </c>
      <c r="E5" s="4">
        <v>17.5</v>
      </c>
      <c r="F5" s="4">
        <v>22.8</v>
      </c>
      <c r="G5" s="4">
        <v>23.7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93" zoomScaleNormal="100" workbookViewId="0">
      <selection activeCell="N15" sqref="N15"/>
    </sheetView>
  </sheetViews>
  <sheetFormatPr defaultColWidth="8.7109375" defaultRowHeight="15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Guillaume Pien</cp:lastModifiedBy>
  <cp:revision>0</cp:revision>
  <dcterms:created xsi:type="dcterms:W3CDTF">2026-07-27T02:27:10Z</dcterms:created>
  <dcterms:modified xsi:type="dcterms:W3CDTF">2026-07-27T02:33:31Z</dcterms:modified>
  <cp:category/>
  <cp:contentStatus/>
</cp:coreProperties>
</file>