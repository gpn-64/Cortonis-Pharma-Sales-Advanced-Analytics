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7" documentId="11_E9D41DEDB462D0BDB44797F5A479326AF2BBC64F" xr6:coauthVersionLast="47" xr6:coauthVersionMax="47" xr10:uidLastSave="{48512A45-DC6D-45DA-80B0-C27A39D235F5}"/>
  <bookViews>
    <workbookView xWindow="0" yWindow="0" windowWidth="16384" windowHeight="8192" tabRatio="500" activeTab="5" xr2:uid="{00000000-000D-0000-FFFF-FFFF00000000}"/>
  </bookViews>
  <sheets>
    <sheet name="README" sheetId="1" r:id="rId1"/>
    <sheet name="Historique_Mensuel" sheetId="2" r:id="rId2"/>
    <sheet name="Prevision_Prophet" sheetId="3" r:id="rId3"/>
    <sheet name="Backtest_Validation" sheetId="4" r:id="rId4"/>
    <sheet name="Comparaison_MAPE" sheetId="5" r:id="rId5"/>
    <sheet name="Graphiques" sheetId="6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73" i="4" l="1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</calcChain>
</file>

<file path=xl/sharedStrings.xml><?xml version="1.0" encoding="utf-8"?>
<sst xmlns="http://schemas.openxmlformats.org/spreadsheetml/2006/main" count="830" uniqueCount="43">
  <si>
    <t>Module 3 - Prevision des ventes par classe therapeutique (Prophet)</t>
  </si>
  <si>
    <t>Objectif : prevision mensuelle par classe therapeutique avec intervalles de confiance, pour le calage des objectifs trimestriels et l'allocation de ressources.</t>
  </si>
  <si>
    <t>Perimetre : Allemagne uniquement, Janvier 2017 - Decembre 2020 (48 mois). La Pologne est exclue : elle n'a que 12 mois d'historique dans ce jeu de donnees (cf. Modules 1 et 2), insuffisant pour qu'un modele estime une saisonnalite annuelle fiable (minimum 2, ideallement 3+ cycles complets).</t>
  </si>
  <si>
    <t>RESULTAT DE VALIDATION CRITIQUE (backtest : entrainement 2017-2019, test sur 2020) :</t>
  </si>
  <si>
    <t>Prophet NE BAT PAS une simple moyenne historique sur ce jeu de donnees. MAPE Prophet entre 34% et 95% selon la classe therapeutique, contre 17%-43% pour une moyenne historique simple (voir onglet Backtest_Validation). La couverture reelle de l'intervalle de confiance a 80% n'est que de 17% a 50% selon la classe (au lieu des ~80% attendus) : les intervalles Prophet sont mal calibres sur ce jeu de donnees.</t>
  </si>
  <si>
    <t>Diagnostic : la correlation du profil mensuel (Janvier a Decembre) entre les annees d'entrainement 2017, 2018 et 2019 est quasi nulle (0.24 / -0.05 / 0.29). Il n'y a pas de saisonnalite calendaire stable et repetable d'une annee sur l'autre -- les ventes mensuelles se comportent essentiellement comme du bruit autour d'une moyenne globalement stable (coefficient de variation 24%-47% selon la classe). La 'saisonnalite' visible sur l'agregat des 4 annees (Janvier bas, Aout haut) est probablement un artefact de sur-ajustement plutot qu'un vrai pattern previsible.</t>
  </si>
  <si>
    <t>Note : 2020 (annee de test) est aussi une annee potentiellement atypique (contexte pandemique), ce qui peut expliquer une partie de l'ecart de performance -- a reevaluer avec des donnees plus recentes avant toute conclusion definitive.</t>
  </si>
  <si>
    <t>RECOMMANDATION POUR LE TARGET-SETTING :</t>
  </si>
  <si>
    <t>Utiliser la moyenne historique par classe +/- l'ecart-type empirique comme reference pour les objectifs trimestriels (plus simple, plus robuste, et empiriquement plus precise que Prophet sur ce jeu de donnees). La sortie Prophet (onglet Prevision_Prophet) peut etre consultee a titre exploratoire pour la forme saisonniere indicative, mais ne doit pas etre presentee comme une prevision de precision garantie.</t>
  </si>
  <si>
    <t>Cette conclusion est en elle-meme une des livraisons utiles du module : elle evite d'investir dans une infrastructure de prevision complexe la ou une regle simple suffit, et recentre l'effort de planification sur les leviers identifies dans les Modules 1 et 2 (segments clients, territoires).</t>
  </si>
  <si>
    <t>Onglets : Historique_Mensuel (donnees sources), Prevision_Prophet (previsions + IC 12 mois), Backtest_Validation (detail du backtest), Comparaison_MAPE, Graphiques.</t>
  </si>
  <si>
    <t>Date</t>
  </si>
  <si>
    <t>Product Class</t>
  </si>
  <si>
    <t>Sales</t>
  </si>
  <si>
    <t>Analgesics</t>
  </si>
  <si>
    <t>Antibiotics</t>
  </si>
  <si>
    <t>Antimalarial</t>
  </si>
  <si>
    <t>Antipiretics</t>
  </si>
  <si>
    <t>Antiseptics</t>
  </si>
  <si>
    <t>Mood Stabilizers</t>
  </si>
  <si>
    <t>ds</t>
  </si>
  <si>
    <t>yhat</t>
  </si>
  <si>
    <t>yhat_lower</t>
  </si>
  <si>
    <t>yhat_upper</t>
  </si>
  <si>
    <t>y</t>
  </si>
  <si>
    <t>abs_pct_err</t>
  </si>
  <si>
    <t>within_ci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</si>
  <si>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</si>
  <si>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</si>
  <si>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</si>
  <si>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</si>
  <si>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</si>
  <si>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</si>
  <si>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</si>
  <si>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</si>
  <si>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</si>
  <si>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</si>
  <si>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</si>
  <si>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</si>
  <si>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MAPE_prophet</t>
  </si>
  <si>
    <t>Couverture_IC80</t>
  </si>
  <si>
    <t>MAPE_naive_saisonnier</t>
  </si>
  <si>
    <t>MAPE_moyenne_simple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</si>
</sst>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>
    <font>
      <sz val="11"/>
      <color theme="1"/>
      <name val="Calibri"/>
      <family val="2"/>
      <charset val="1"/>
    </font>
    <font>
      <b/>
      <sz val="13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6A1B9A"/>
        <bgColor rgb="FF8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/>
    <xf numFmtId="16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180975</xdr:colOff>
      <xdr:row>29</xdr:row>
      <xdr:rowOff>76200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1220450" cy="56007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31</xdr:row>
      <xdr:rowOff>85725</xdr:rowOff>
    </xdr:from>
    <xdr:to>
      <xdr:col>10</xdr:col>
      <xdr:colOff>552240</xdr:colOff>
      <xdr:row>50</xdr:row>
      <xdr:rowOff>132885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5991225"/>
          <a:ext cx="6362490" cy="36666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opLeftCell="A4" zoomScaleNormal="100" workbookViewId="0"/>
  </sheetViews>
  <sheetFormatPr defaultColWidth="8.7109375" defaultRowHeight="15"/>
  <cols>
    <col min="1" max="1" width="130" customWidth="1"/>
  </cols>
  <sheetData>
    <row r="1" spans="1:1" ht="16.149999999999999">
      <c r="A1" s="1" t="s">
        <v>0</v>
      </c>
    </row>
    <row r="2" spans="1:1" ht="30" customHeight="1">
      <c r="A2" s="2" t="s">
        <v>1</v>
      </c>
    </row>
    <row r="3" spans="1:1" ht="30" customHeight="1">
      <c r="A3" s="2"/>
    </row>
    <row r="4" spans="1:1" ht="30" customHeight="1">
      <c r="A4" s="2" t="s">
        <v>2</v>
      </c>
    </row>
    <row r="5" spans="1:1" ht="30" customHeight="1">
      <c r="A5" s="2"/>
    </row>
    <row r="6" spans="1:1" ht="30" customHeight="1">
      <c r="A6" s="2" t="s">
        <v>3</v>
      </c>
    </row>
    <row r="7" spans="1:1" ht="36">
      <c r="A7" s="2" t="s">
        <v>4</v>
      </c>
    </row>
    <row r="8" spans="1:1" ht="48">
      <c r="A8" s="2" t="s">
        <v>5</v>
      </c>
    </row>
    <row r="9" spans="1:1" ht="30" customHeight="1">
      <c r="A9" s="2" t="s">
        <v>6</v>
      </c>
    </row>
    <row r="10" spans="1:1" ht="30" customHeight="1">
      <c r="A10" s="2"/>
    </row>
    <row r="11" spans="1:1" ht="30" customHeight="1">
      <c r="A11" s="2" t="s">
        <v>7</v>
      </c>
    </row>
    <row r="12" spans="1:1" ht="36">
      <c r="A12" s="2" t="s">
        <v>8</v>
      </c>
    </row>
    <row r="13" spans="1:1" ht="30" customHeight="1">
      <c r="A13" s="2" t="s">
        <v>9</v>
      </c>
    </row>
    <row r="14" spans="1:1" ht="30" customHeight="1">
      <c r="A14" s="2"/>
    </row>
    <row r="15" spans="1:1" ht="30" customHeight="1">
      <c r="A15" s="2" t="s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9"/>
  <sheetViews>
    <sheetView topLeftCell="A67" zoomScaleNormal="100" workbookViewId="0"/>
  </sheetViews>
  <sheetFormatPr defaultColWidth="8.7109375" defaultRowHeight="15"/>
  <cols>
    <col min="1" max="1" width="21" customWidth="1"/>
    <col min="2" max="2" width="18" customWidth="1"/>
    <col min="3" max="3" width="19" customWidth="1"/>
  </cols>
  <sheetData>
    <row r="1" spans="1:3">
      <c r="A1" s="3" t="s">
        <v>11</v>
      </c>
      <c r="B1" s="3" t="s">
        <v>12</v>
      </c>
      <c r="C1" s="3" t="s">
        <v>13</v>
      </c>
    </row>
    <row r="2" spans="1:3">
      <c r="A2" s="4">
        <v>42736</v>
      </c>
      <c r="B2" s="5" t="s">
        <v>14</v>
      </c>
      <c r="C2" s="5">
        <v>23239999</v>
      </c>
    </row>
    <row r="3" spans="1:3">
      <c r="A3" s="4">
        <v>42736</v>
      </c>
      <c r="B3" s="5" t="s">
        <v>15</v>
      </c>
      <c r="C3" s="5">
        <v>32191776</v>
      </c>
    </row>
    <row r="4" spans="1:3">
      <c r="A4" s="4">
        <v>42736</v>
      </c>
      <c r="B4" s="5" t="s">
        <v>16</v>
      </c>
      <c r="C4" s="5">
        <v>17349709</v>
      </c>
    </row>
    <row r="5" spans="1:3">
      <c r="A5" s="4">
        <v>42736</v>
      </c>
      <c r="B5" s="5" t="s">
        <v>17</v>
      </c>
      <c r="C5" s="5">
        <v>20017128</v>
      </c>
    </row>
    <row r="6" spans="1:3">
      <c r="A6" s="4">
        <v>42736</v>
      </c>
      <c r="B6" s="5" t="s">
        <v>18</v>
      </c>
      <c r="C6" s="5">
        <v>30117362</v>
      </c>
    </row>
    <row r="7" spans="1:3">
      <c r="A7" s="4">
        <v>42736</v>
      </c>
      <c r="B7" s="5" t="s">
        <v>19</v>
      </c>
      <c r="C7" s="5">
        <v>28956210</v>
      </c>
    </row>
    <row r="8" spans="1:3">
      <c r="A8" s="4">
        <v>42767</v>
      </c>
      <c r="B8" s="5" t="s">
        <v>14</v>
      </c>
      <c r="C8" s="5">
        <v>32478774</v>
      </c>
    </row>
    <row r="9" spans="1:3">
      <c r="A9" s="4">
        <v>42767</v>
      </c>
      <c r="B9" s="5" t="s">
        <v>15</v>
      </c>
      <c r="C9" s="5">
        <v>38999789</v>
      </c>
    </row>
    <row r="10" spans="1:3">
      <c r="A10" s="4">
        <v>42767</v>
      </c>
      <c r="B10" s="5" t="s">
        <v>16</v>
      </c>
      <c r="C10" s="5">
        <v>22944087</v>
      </c>
    </row>
    <row r="11" spans="1:3">
      <c r="A11" s="4">
        <v>42767</v>
      </c>
      <c r="B11" s="5" t="s">
        <v>17</v>
      </c>
      <c r="C11" s="5">
        <v>37327196</v>
      </c>
    </row>
    <row r="12" spans="1:3">
      <c r="A12" s="4">
        <v>42767</v>
      </c>
      <c r="B12" s="5" t="s">
        <v>18</v>
      </c>
      <c r="C12" s="5">
        <v>39137404</v>
      </c>
    </row>
    <row r="13" spans="1:3">
      <c r="A13" s="4">
        <v>42767</v>
      </c>
      <c r="B13" s="5" t="s">
        <v>19</v>
      </c>
      <c r="C13" s="5">
        <v>38108639</v>
      </c>
    </row>
    <row r="14" spans="1:3">
      <c r="A14" s="4">
        <v>42795</v>
      </c>
      <c r="B14" s="5" t="s">
        <v>14</v>
      </c>
      <c r="C14" s="5">
        <v>44535117</v>
      </c>
    </row>
    <row r="15" spans="1:3">
      <c r="A15" s="4">
        <v>42795</v>
      </c>
      <c r="B15" s="5" t="s">
        <v>15</v>
      </c>
      <c r="C15" s="5">
        <v>29061352</v>
      </c>
    </row>
    <row r="16" spans="1:3">
      <c r="A16" s="4">
        <v>42795</v>
      </c>
      <c r="B16" s="5" t="s">
        <v>16</v>
      </c>
      <c r="C16" s="5">
        <v>25721481</v>
      </c>
    </row>
    <row r="17" spans="1:3">
      <c r="A17" s="4">
        <v>42795</v>
      </c>
      <c r="B17" s="5" t="s">
        <v>17</v>
      </c>
      <c r="C17" s="5">
        <v>32699719</v>
      </c>
    </row>
    <row r="18" spans="1:3">
      <c r="A18" s="4">
        <v>42795</v>
      </c>
      <c r="B18" s="5" t="s">
        <v>18</v>
      </c>
      <c r="C18" s="5">
        <v>43035099</v>
      </c>
    </row>
    <row r="19" spans="1:3">
      <c r="A19" s="4">
        <v>42795</v>
      </c>
      <c r="B19" s="5" t="s">
        <v>19</v>
      </c>
      <c r="C19" s="5">
        <v>39715188</v>
      </c>
    </row>
    <row r="20" spans="1:3">
      <c r="A20" s="4">
        <v>42826</v>
      </c>
      <c r="B20" s="5" t="s">
        <v>14</v>
      </c>
      <c r="C20" s="5">
        <v>32223716</v>
      </c>
    </row>
    <row r="21" spans="1:3">
      <c r="A21" s="4">
        <v>42826</v>
      </c>
      <c r="B21" s="5" t="s">
        <v>15</v>
      </c>
      <c r="C21" s="5">
        <v>40029226</v>
      </c>
    </row>
    <row r="22" spans="1:3">
      <c r="A22" s="4">
        <v>42826</v>
      </c>
      <c r="B22" s="5" t="s">
        <v>16</v>
      </c>
      <c r="C22" s="5">
        <v>17789675</v>
      </c>
    </row>
    <row r="23" spans="1:3">
      <c r="A23" s="4">
        <v>42826</v>
      </c>
      <c r="B23" s="5" t="s">
        <v>17</v>
      </c>
      <c r="C23" s="5">
        <v>22868812</v>
      </c>
    </row>
    <row r="24" spans="1:3">
      <c r="A24" s="4">
        <v>42826</v>
      </c>
      <c r="B24" s="5" t="s">
        <v>18</v>
      </c>
      <c r="C24" s="5">
        <v>42712211</v>
      </c>
    </row>
    <row r="25" spans="1:3">
      <c r="A25" s="4">
        <v>42826</v>
      </c>
      <c r="B25" s="5" t="s">
        <v>19</v>
      </c>
      <c r="C25" s="5">
        <v>33176944</v>
      </c>
    </row>
    <row r="26" spans="1:3">
      <c r="A26" s="4">
        <v>42856</v>
      </c>
      <c r="B26" s="5" t="s">
        <v>14</v>
      </c>
      <c r="C26" s="5">
        <v>40790800</v>
      </c>
    </row>
    <row r="27" spans="1:3">
      <c r="A27" s="4">
        <v>42856</v>
      </c>
      <c r="B27" s="5" t="s">
        <v>15</v>
      </c>
      <c r="C27" s="5">
        <v>31446946</v>
      </c>
    </row>
    <row r="28" spans="1:3">
      <c r="A28" s="4">
        <v>42856</v>
      </c>
      <c r="B28" s="5" t="s">
        <v>16</v>
      </c>
      <c r="C28" s="5">
        <v>18212590</v>
      </c>
    </row>
    <row r="29" spans="1:3">
      <c r="A29" s="4">
        <v>42856</v>
      </c>
      <c r="B29" s="5" t="s">
        <v>17</v>
      </c>
      <c r="C29" s="5">
        <v>51549178</v>
      </c>
    </row>
    <row r="30" spans="1:3">
      <c r="A30" s="4">
        <v>42856</v>
      </c>
      <c r="B30" s="5" t="s">
        <v>18</v>
      </c>
      <c r="C30" s="5">
        <v>40747450</v>
      </c>
    </row>
    <row r="31" spans="1:3">
      <c r="A31" s="4">
        <v>42856</v>
      </c>
      <c r="B31" s="5" t="s">
        <v>19</v>
      </c>
      <c r="C31" s="5">
        <v>40887835</v>
      </c>
    </row>
    <row r="32" spans="1:3">
      <c r="A32" s="4">
        <v>42887</v>
      </c>
      <c r="B32" s="5" t="s">
        <v>14</v>
      </c>
      <c r="C32" s="5">
        <v>76961682</v>
      </c>
    </row>
    <row r="33" spans="1:3">
      <c r="A33" s="4">
        <v>42887</v>
      </c>
      <c r="B33" s="5" t="s">
        <v>15</v>
      </c>
      <c r="C33" s="5">
        <v>31160717</v>
      </c>
    </row>
    <row r="34" spans="1:3">
      <c r="A34" s="4">
        <v>42887</v>
      </c>
      <c r="B34" s="5" t="s">
        <v>16</v>
      </c>
      <c r="C34" s="5">
        <v>25688426</v>
      </c>
    </row>
    <row r="35" spans="1:3">
      <c r="A35" s="4">
        <v>42887</v>
      </c>
      <c r="B35" s="5" t="s">
        <v>17</v>
      </c>
      <c r="C35" s="5">
        <v>39552170</v>
      </c>
    </row>
    <row r="36" spans="1:3">
      <c r="A36" s="4">
        <v>42887</v>
      </c>
      <c r="B36" s="5" t="s">
        <v>18</v>
      </c>
      <c r="C36" s="5">
        <v>42800519</v>
      </c>
    </row>
    <row r="37" spans="1:3">
      <c r="A37" s="4">
        <v>42887</v>
      </c>
      <c r="B37" s="5" t="s">
        <v>19</v>
      </c>
      <c r="C37" s="5">
        <v>50504877</v>
      </c>
    </row>
    <row r="38" spans="1:3">
      <c r="A38" s="4">
        <v>42917</v>
      </c>
      <c r="B38" s="5" t="s">
        <v>14</v>
      </c>
      <c r="C38" s="5">
        <v>49682737</v>
      </c>
    </row>
    <row r="39" spans="1:3">
      <c r="A39" s="4">
        <v>42917</v>
      </c>
      <c r="B39" s="5" t="s">
        <v>15</v>
      </c>
      <c r="C39" s="5">
        <v>26568477</v>
      </c>
    </row>
    <row r="40" spans="1:3">
      <c r="A40" s="4">
        <v>42917</v>
      </c>
      <c r="B40" s="5" t="s">
        <v>16</v>
      </c>
      <c r="C40" s="5">
        <v>36810284</v>
      </c>
    </row>
    <row r="41" spans="1:3">
      <c r="A41" s="4">
        <v>42917</v>
      </c>
      <c r="B41" s="5" t="s">
        <v>17</v>
      </c>
      <c r="C41" s="5">
        <v>41829247.306692399</v>
      </c>
    </row>
    <row r="42" spans="1:3">
      <c r="A42" s="4">
        <v>42917</v>
      </c>
      <c r="B42" s="5" t="s">
        <v>18</v>
      </c>
      <c r="C42" s="5">
        <v>61990433.508907102</v>
      </c>
    </row>
    <row r="43" spans="1:3">
      <c r="A43" s="4">
        <v>42917</v>
      </c>
      <c r="B43" s="5" t="s">
        <v>19</v>
      </c>
      <c r="C43" s="5">
        <v>43607597</v>
      </c>
    </row>
    <row r="44" spans="1:3">
      <c r="A44" s="4">
        <v>42948</v>
      </c>
      <c r="B44" s="5" t="s">
        <v>14</v>
      </c>
      <c r="C44" s="5">
        <v>49744520</v>
      </c>
    </row>
    <row r="45" spans="1:3">
      <c r="A45" s="4">
        <v>42948</v>
      </c>
      <c r="B45" s="5" t="s">
        <v>15</v>
      </c>
      <c r="C45" s="5">
        <v>32449096</v>
      </c>
    </row>
    <row r="46" spans="1:3">
      <c r="A46" s="4">
        <v>42948</v>
      </c>
      <c r="B46" s="5" t="s">
        <v>16</v>
      </c>
      <c r="C46" s="5">
        <v>25887712</v>
      </c>
    </row>
    <row r="47" spans="1:3">
      <c r="A47" s="4">
        <v>42948</v>
      </c>
      <c r="B47" s="5" t="s">
        <v>17</v>
      </c>
      <c r="C47" s="5">
        <v>39342305</v>
      </c>
    </row>
    <row r="48" spans="1:3">
      <c r="A48" s="4">
        <v>42948</v>
      </c>
      <c r="B48" s="5" t="s">
        <v>18</v>
      </c>
      <c r="C48" s="5">
        <v>45881555</v>
      </c>
    </row>
    <row r="49" spans="1:3">
      <c r="A49" s="4">
        <v>42948</v>
      </c>
      <c r="B49" s="5" t="s">
        <v>19</v>
      </c>
      <c r="C49" s="5">
        <v>40529487</v>
      </c>
    </row>
    <row r="50" spans="1:3">
      <c r="A50" s="4">
        <v>42979</v>
      </c>
      <c r="B50" s="5" t="s">
        <v>14</v>
      </c>
      <c r="C50" s="5">
        <v>43114493</v>
      </c>
    </row>
    <row r="51" spans="1:3">
      <c r="A51" s="4">
        <v>42979</v>
      </c>
      <c r="B51" s="5" t="s">
        <v>15</v>
      </c>
      <c r="C51" s="5">
        <v>42023264</v>
      </c>
    </row>
    <row r="52" spans="1:3">
      <c r="A52" s="4">
        <v>42979</v>
      </c>
      <c r="B52" s="5" t="s">
        <v>16</v>
      </c>
      <c r="C52" s="5">
        <v>20078057</v>
      </c>
    </row>
    <row r="53" spans="1:3">
      <c r="A53" s="4">
        <v>42979</v>
      </c>
      <c r="B53" s="5" t="s">
        <v>17</v>
      </c>
      <c r="C53" s="5">
        <v>39106531</v>
      </c>
    </row>
    <row r="54" spans="1:3">
      <c r="A54" s="4">
        <v>42979</v>
      </c>
      <c r="B54" s="5" t="s">
        <v>18</v>
      </c>
      <c r="C54" s="5">
        <v>50448231</v>
      </c>
    </row>
    <row r="55" spans="1:3">
      <c r="A55" s="4">
        <v>42979</v>
      </c>
      <c r="B55" s="5" t="s">
        <v>19</v>
      </c>
      <c r="C55" s="5">
        <v>65481034</v>
      </c>
    </row>
    <row r="56" spans="1:3">
      <c r="A56" s="4">
        <v>43009</v>
      </c>
      <c r="B56" s="5" t="s">
        <v>14</v>
      </c>
      <c r="C56" s="5">
        <v>47333392</v>
      </c>
    </row>
    <row r="57" spans="1:3">
      <c r="A57" s="4">
        <v>43009</v>
      </c>
      <c r="B57" s="5" t="s">
        <v>15</v>
      </c>
      <c r="C57" s="5">
        <v>27324239</v>
      </c>
    </row>
    <row r="58" spans="1:3">
      <c r="A58" s="4">
        <v>43009</v>
      </c>
      <c r="B58" s="5" t="s">
        <v>16</v>
      </c>
      <c r="C58" s="5">
        <v>24631316</v>
      </c>
    </row>
    <row r="59" spans="1:3">
      <c r="A59" s="4">
        <v>43009</v>
      </c>
      <c r="B59" s="5" t="s">
        <v>17</v>
      </c>
      <c r="C59" s="5">
        <v>38267002</v>
      </c>
    </row>
    <row r="60" spans="1:3">
      <c r="A60" s="4">
        <v>43009</v>
      </c>
      <c r="B60" s="5" t="s">
        <v>18</v>
      </c>
      <c r="C60" s="5">
        <v>42592241</v>
      </c>
    </row>
    <row r="61" spans="1:3">
      <c r="A61" s="4">
        <v>43009</v>
      </c>
      <c r="B61" s="5" t="s">
        <v>19</v>
      </c>
      <c r="C61" s="5">
        <v>39190635</v>
      </c>
    </row>
    <row r="62" spans="1:3">
      <c r="A62" s="4">
        <v>43040</v>
      </c>
      <c r="B62" s="5" t="s">
        <v>14</v>
      </c>
      <c r="C62" s="5">
        <v>38653321</v>
      </c>
    </row>
    <row r="63" spans="1:3">
      <c r="A63" s="4">
        <v>43040</v>
      </c>
      <c r="B63" s="5" t="s">
        <v>15</v>
      </c>
      <c r="C63" s="5">
        <v>29736245</v>
      </c>
    </row>
    <row r="64" spans="1:3">
      <c r="A64" s="4">
        <v>43040</v>
      </c>
      <c r="B64" s="5" t="s">
        <v>16</v>
      </c>
      <c r="C64" s="5">
        <v>29179946</v>
      </c>
    </row>
    <row r="65" spans="1:3">
      <c r="A65" s="4">
        <v>43040</v>
      </c>
      <c r="B65" s="5" t="s">
        <v>17</v>
      </c>
      <c r="C65" s="5">
        <v>34901437</v>
      </c>
    </row>
    <row r="66" spans="1:3">
      <c r="A66" s="4">
        <v>43040</v>
      </c>
      <c r="B66" s="5" t="s">
        <v>18</v>
      </c>
      <c r="C66" s="5">
        <v>64218974</v>
      </c>
    </row>
    <row r="67" spans="1:3">
      <c r="A67" s="4">
        <v>43040</v>
      </c>
      <c r="B67" s="5" t="s">
        <v>19</v>
      </c>
      <c r="C67" s="5">
        <v>55377587</v>
      </c>
    </row>
    <row r="68" spans="1:3">
      <c r="A68" s="4">
        <v>43070</v>
      </c>
      <c r="B68" s="5" t="s">
        <v>14</v>
      </c>
      <c r="C68" s="5">
        <v>64973444</v>
      </c>
    </row>
    <row r="69" spans="1:3">
      <c r="A69" s="4">
        <v>43070</v>
      </c>
      <c r="B69" s="5" t="s">
        <v>15</v>
      </c>
      <c r="C69" s="5">
        <v>28906649</v>
      </c>
    </row>
    <row r="70" spans="1:3">
      <c r="A70" s="4">
        <v>43070</v>
      </c>
      <c r="B70" s="5" t="s">
        <v>16</v>
      </c>
      <c r="C70" s="5">
        <v>20408987</v>
      </c>
    </row>
    <row r="71" spans="1:3">
      <c r="A71" s="4">
        <v>43070</v>
      </c>
      <c r="B71" s="5" t="s">
        <v>17</v>
      </c>
      <c r="C71" s="5">
        <v>33515804</v>
      </c>
    </row>
    <row r="72" spans="1:3">
      <c r="A72" s="4">
        <v>43070</v>
      </c>
      <c r="B72" s="5" t="s">
        <v>18</v>
      </c>
      <c r="C72" s="5">
        <v>44366481</v>
      </c>
    </row>
    <row r="73" spans="1:3">
      <c r="A73" s="4">
        <v>43070</v>
      </c>
      <c r="B73" s="5" t="s">
        <v>19</v>
      </c>
      <c r="C73" s="5">
        <v>28588177</v>
      </c>
    </row>
    <row r="74" spans="1:3">
      <c r="A74" s="4">
        <v>43101</v>
      </c>
      <c r="B74" s="5" t="s">
        <v>14</v>
      </c>
      <c r="C74" s="5">
        <v>56586372</v>
      </c>
    </row>
    <row r="75" spans="1:3">
      <c r="A75" s="4">
        <v>43101</v>
      </c>
      <c r="B75" s="5" t="s">
        <v>15</v>
      </c>
      <c r="C75" s="5">
        <v>24250016</v>
      </c>
    </row>
    <row r="76" spans="1:3">
      <c r="A76" s="4">
        <v>43101</v>
      </c>
      <c r="B76" s="5" t="s">
        <v>16</v>
      </c>
      <c r="C76" s="5">
        <v>27528354</v>
      </c>
    </row>
    <row r="77" spans="1:3">
      <c r="A77" s="4">
        <v>43101</v>
      </c>
      <c r="B77" s="5" t="s">
        <v>17</v>
      </c>
      <c r="C77" s="5">
        <v>34363226</v>
      </c>
    </row>
    <row r="78" spans="1:3">
      <c r="A78" s="4">
        <v>43101</v>
      </c>
      <c r="B78" s="5" t="s">
        <v>18</v>
      </c>
      <c r="C78" s="5">
        <v>31982743</v>
      </c>
    </row>
    <row r="79" spans="1:3">
      <c r="A79" s="4">
        <v>43101</v>
      </c>
      <c r="B79" s="5" t="s">
        <v>19</v>
      </c>
      <c r="C79" s="5">
        <v>37414858</v>
      </c>
    </row>
    <row r="80" spans="1:3">
      <c r="A80" s="4">
        <v>43132</v>
      </c>
      <c r="B80" s="5" t="s">
        <v>14</v>
      </c>
      <c r="C80" s="5">
        <v>40456073</v>
      </c>
    </row>
    <row r="81" spans="1:3">
      <c r="A81" s="4">
        <v>43132</v>
      </c>
      <c r="B81" s="5" t="s">
        <v>15</v>
      </c>
      <c r="C81" s="5">
        <v>33800103</v>
      </c>
    </row>
    <row r="82" spans="1:3">
      <c r="A82" s="4">
        <v>43132</v>
      </c>
      <c r="B82" s="5" t="s">
        <v>16</v>
      </c>
      <c r="C82" s="5">
        <v>21982604</v>
      </c>
    </row>
    <row r="83" spans="1:3">
      <c r="A83" s="4">
        <v>43132</v>
      </c>
      <c r="B83" s="5" t="s">
        <v>17</v>
      </c>
      <c r="C83" s="5">
        <v>33738960.600000001</v>
      </c>
    </row>
    <row r="84" spans="1:3">
      <c r="A84" s="4">
        <v>43132</v>
      </c>
      <c r="B84" s="5" t="s">
        <v>18</v>
      </c>
      <c r="C84" s="5">
        <v>42081200.200000003</v>
      </c>
    </row>
    <row r="85" spans="1:3">
      <c r="A85" s="4">
        <v>43132</v>
      </c>
      <c r="B85" s="5" t="s">
        <v>19</v>
      </c>
      <c r="C85" s="5">
        <v>40664779</v>
      </c>
    </row>
    <row r="86" spans="1:3">
      <c r="A86" s="4">
        <v>43160</v>
      </c>
      <c r="B86" s="5" t="s">
        <v>14</v>
      </c>
      <c r="C86" s="5">
        <v>50221257</v>
      </c>
    </row>
    <row r="87" spans="1:3">
      <c r="A87" s="4">
        <v>43160</v>
      </c>
      <c r="B87" s="5" t="s">
        <v>15</v>
      </c>
      <c r="C87" s="5">
        <v>60722989</v>
      </c>
    </row>
    <row r="88" spans="1:3">
      <c r="A88" s="4">
        <v>43160</v>
      </c>
      <c r="B88" s="5" t="s">
        <v>16</v>
      </c>
      <c r="C88" s="5">
        <v>39583751</v>
      </c>
    </row>
    <row r="89" spans="1:3">
      <c r="A89" s="4">
        <v>43160</v>
      </c>
      <c r="B89" s="5" t="s">
        <v>17</v>
      </c>
      <c r="C89" s="5">
        <v>65907182</v>
      </c>
    </row>
    <row r="90" spans="1:3">
      <c r="A90" s="4">
        <v>43160</v>
      </c>
      <c r="B90" s="5" t="s">
        <v>18</v>
      </c>
      <c r="C90" s="5">
        <v>50616084</v>
      </c>
    </row>
    <row r="91" spans="1:3">
      <c r="A91" s="4">
        <v>43160</v>
      </c>
      <c r="B91" s="5" t="s">
        <v>19</v>
      </c>
      <c r="C91" s="5">
        <v>61252234</v>
      </c>
    </row>
    <row r="92" spans="1:3">
      <c r="A92" s="4">
        <v>43191</v>
      </c>
      <c r="B92" s="5" t="s">
        <v>14</v>
      </c>
      <c r="C92" s="5">
        <v>35070173</v>
      </c>
    </row>
    <row r="93" spans="1:3">
      <c r="A93" s="4">
        <v>43191</v>
      </c>
      <c r="B93" s="5" t="s">
        <v>15</v>
      </c>
      <c r="C93" s="5">
        <v>45798778</v>
      </c>
    </row>
    <row r="94" spans="1:3">
      <c r="A94" s="4">
        <v>43191</v>
      </c>
      <c r="B94" s="5" t="s">
        <v>16</v>
      </c>
      <c r="C94" s="5">
        <v>26481999</v>
      </c>
    </row>
    <row r="95" spans="1:3">
      <c r="A95" s="4">
        <v>43191</v>
      </c>
      <c r="B95" s="5" t="s">
        <v>17</v>
      </c>
      <c r="C95" s="5">
        <v>32908642</v>
      </c>
    </row>
    <row r="96" spans="1:3">
      <c r="A96" s="4">
        <v>43191</v>
      </c>
      <c r="B96" s="5" t="s">
        <v>18</v>
      </c>
      <c r="C96" s="5">
        <v>43038456</v>
      </c>
    </row>
    <row r="97" spans="1:3">
      <c r="A97" s="4">
        <v>43191</v>
      </c>
      <c r="B97" s="5" t="s">
        <v>19</v>
      </c>
      <c r="C97" s="5">
        <v>26751012</v>
      </c>
    </row>
    <row r="98" spans="1:3">
      <c r="A98" s="4">
        <v>43221</v>
      </c>
      <c r="B98" s="5" t="s">
        <v>14</v>
      </c>
      <c r="C98" s="5">
        <v>31667639</v>
      </c>
    </row>
    <row r="99" spans="1:3">
      <c r="A99" s="4">
        <v>43221</v>
      </c>
      <c r="B99" s="5" t="s">
        <v>15</v>
      </c>
      <c r="C99" s="5">
        <v>28876072</v>
      </c>
    </row>
    <row r="100" spans="1:3">
      <c r="A100" s="4">
        <v>43221</v>
      </c>
      <c r="B100" s="5" t="s">
        <v>16</v>
      </c>
      <c r="C100" s="5">
        <v>34520664</v>
      </c>
    </row>
    <row r="101" spans="1:3">
      <c r="A101" s="4">
        <v>43221</v>
      </c>
      <c r="B101" s="5" t="s">
        <v>17</v>
      </c>
      <c r="C101" s="5">
        <v>30336425</v>
      </c>
    </row>
    <row r="102" spans="1:3">
      <c r="A102" s="4">
        <v>43221</v>
      </c>
      <c r="B102" s="5" t="s">
        <v>18</v>
      </c>
      <c r="C102" s="5">
        <v>26962436</v>
      </c>
    </row>
    <row r="103" spans="1:3">
      <c r="A103" s="4">
        <v>43221</v>
      </c>
      <c r="B103" s="5" t="s">
        <v>19</v>
      </c>
      <c r="C103" s="5">
        <v>31921887</v>
      </c>
    </row>
    <row r="104" spans="1:3">
      <c r="A104" s="4">
        <v>43252</v>
      </c>
      <c r="B104" s="5" t="s">
        <v>14</v>
      </c>
      <c r="C104" s="5">
        <v>74211103</v>
      </c>
    </row>
    <row r="105" spans="1:3">
      <c r="A105" s="4">
        <v>43252</v>
      </c>
      <c r="B105" s="5" t="s">
        <v>15</v>
      </c>
      <c r="C105" s="5">
        <v>33843438</v>
      </c>
    </row>
    <row r="106" spans="1:3">
      <c r="A106" s="4">
        <v>43252</v>
      </c>
      <c r="B106" s="5" t="s">
        <v>16</v>
      </c>
      <c r="C106" s="5">
        <v>54848750</v>
      </c>
    </row>
    <row r="107" spans="1:3">
      <c r="A107" s="4">
        <v>43252</v>
      </c>
      <c r="B107" s="5" t="s">
        <v>17</v>
      </c>
      <c r="C107" s="5">
        <v>39846968</v>
      </c>
    </row>
    <row r="108" spans="1:3">
      <c r="A108" s="4">
        <v>43252</v>
      </c>
      <c r="B108" s="5" t="s">
        <v>18</v>
      </c>
      <c r="C108" s="5">
        <v>42008190</v>
      </c>
    </row>
    <row r="109" spans="1:3">
      <c r="A109" s="4">
        <v>43252</v>
      </c>
      <c r="B109" s="5" t="s">
        <v>19</v>
      </c>
      <c r="C109" s="5">
        <v>60506839</v>
      </c>
    </row>
    <row r="110" spans="1:3">
      <c r="A110" s="4">
        <v>43282</v>
      </c>
      <c r="B110" s="5" t="s">
        <v>14</v>
      </c>
      <c r="C110" s="5">
        <v>33813366</v>
      </c>
    </row>
    <row r="111" spans="1:3">
      <c r="A111" s="4">
        <v>43282</v>
      </c>
      <c r="B111" s="5" t="s">
        <v>15</v>
      </c>
      <c r="C111" s="5">
        <v>47236173</v>
      </c>
    </row>
    <row r="112" spans="1:3">
      <c r="A112" s="4">
        <v>43282</v>
      </c>
      <c r="B112" s="5" t="s">
        <v>16</v>
      </c>
      <c r="C112" s="5">
        <v>39904515</v>
      </c>
    </row>
    <row r="113" spans="1:3">
      <c r="A113" s="4">
        <v>43282</v>
      </c>
      <c r="B113" s="5" t="s">
        <v>17</v>
      </c>
      <c r="C113" s="5">
        <v>35814093</v>
      </c>
    </row>
    <row r="114" spans="1:3">
      <c r="A114" s="4">
        <v>43282</v>
      </c>
      <c r="B114" s="5" t="s">
        <v>18</v>
      </c>
      <c r="C114" s="5">
        <v>57493313</v>
      </c>
    </row>
    <row r="115" spans="1:3">
      <c r="A115" s="4">
        <v>43282</v>
      </c>
      <c r="B115" s="5" t="s">
        <v>19</v>
      </c>
      <c r="C115" s="5">
        <v>44094263</v>
      </c>
    </row>
    <row r="116" spans="1:3">
      <c r="A116" s="4">
        <v>43313</v>
      </c>
      <c r="B116" s="5" t="s">
        <v>14</v>
      </c>
      <c r="C116" s="5">
        <v>46415982</v>
      </c>
    </row>
    <row r="117" spans="1:3">
      <c r="A117" s="4">
        <v>43313</v>
      </c>
      <c r="B117" s="5" t="s">
        <v>15</v>
      </c>
      <c r="C117" s="5">
        <v>17769131</v>
      </c>
    </row>
    <row r="118" spans="1:3">
      <c r="A118" s="4">
        <v>43313</v>
      </c>
      <c r="B118" s="5" t="s">
        <v>16</v>
      </c>
      <c r="C118" s="5">
        <v>26308404</v>
      </c>
    </row>
    <row r="119" spans="1:3">
      <c r="A119" s="4">
        <v>43313</v>
      </c>
      <c r="B119" s="5" t="s">
        <v>17</v>
      </c>
      <c r="C119" s="5">
        <v>28992647</v>
      </c>
    </row>
    <row r="120" spans="1:3">
      <c r="A120" s="4">
        <v>43313</v>
      </c>
      <c r="B120" s="5" t="s">
        <v>18</v>
      </c>
      <c r="C120" s="5">
        <v>39567236</v>
      </c>
    </row>
    <row r="121" spans="1:3">
      <c r="A121" s="4">
        <v>43313</v>
      </c>
      <c r="B121" s="5" t="s">
        <v>19</v>
      </c>
      <c r="C121" s="5">
        <v>52258758</v>
      </c>
    </row>
    <row r="122" spans="1:3">
      <c r="A122" s="4">
        <v>43344</v>
      </c>
      <c r="B122" s="5" t="s">
        <v>14</v>
      </c>
      <c r="C122" s="5">
        <v>48139291</v>
      </c>
    </row>
    <row r="123" spans="1:3">
      <c r="A123" s="4">
        <v>43344</v>
      </c>
      <c r="B123" s="5" t="s">
        <v>15</v>
      </c>
      <c r="C123" s="5">
        <v>27608087</v>
      </c>
    </row>
    <row r="124" spans="1:3">
      <c r="A124" s="4">
        <v>43344</v>
      </c>
      <c r="B124" s="5" t="s">
        <v>16</v>
      </c>
      <c r="C124" s="5">
        <v>20349575</v>
      </c>
    </row>
    <row r="125" spans="1:3">
      <c r="A125" s="4">
        <v>43344</v>
      </c>
      <c r="B125" s="5" t="s">
        <v>17</v>
      </c>
      <c r="C125" s="5">
        <v>42469416</v>
      </c>
    </row>
    <row r="126" spans="1:3">
      <c r="A126" s="4">
        <v>43344</v>
      </c>
      <c r="B126" s="5" t="s">
        <v>18</v>
      </c>
      <c r="C126" s="5">
        <v>50329194</v>
      </c>
    </row>
    <row r="127" spans="1:3">
      <c r="A127" s="4">
        <v>43344</v>
      </c>
      <c r="B127" s="5" t="s">
        <v>19</v>
      </c>
      <c r="C127" s="5">
        <v>28152494</v>
      </c>
    </row>
    <row r="128" spans="1:3">
      <c r="A128" s="4">
        <v>43374</v>
      </c>
      <c r="B128" s="5" t="s">
        <v>14</v>
      </c>
      <c r="C128" s="5">
        <v>67859148</v>
      </c>
    </row>
    <row r="129" spans="1:3">
      <c r="A129" s="4">
        <v>43374</v>
      </c>
      <c r="B129" s="5" t="s">
        <v>15</v>
      </c>
      <c r="C129" s="5">
        <v>42060459</v>
      </c>
    </row>
    <row r="130" spans="1:3">
      <c r="A130" s="4">
        <v>43374</v>
      </c>
      <c r="B130" s="5" t="s">
        <v>16</v>
      </c>
      <c r="C130" s="5">
        <v>33410696</v>
      </c>
    </row>
    <row r="131" spans="1:3">
      <c r="A131" s="4">
        <v>43374</v>
      </c>
      <c r="B131" s="5" t="s">
        <v>17</v>
      </c>
      <c r="C131" s="5">
        <v>49074843</v>
      </c>
    </row>
    <row r="132" spans="1:3">
      <c r="A132" s="4">
        <v>43374</v>
      </c>
      <c r="B132" s="5" t="s">
        <v>18</v>
      </c>
      <c r="C132" s="5">
        <v>50270878</v>
      </c>
    </row>
    <row r="133" spans="1:3">
      <c r="A133" s="4">
        <v>43374</v>
      </c>
      <c r="B133" s="5" t="s">
        <v>19</v>
      </c>
      <c r="C133" s="5">
        <v>54191562</v>
      </c>
    </row>
    <row r="134" spans="1:3">
      <c r="A134" s="4">
        <v>43405</v>
      </c>
      <c r="B134" s="5" t="s">
        <v>14</v>
      </c>
      <c r="C134" s="5">
        <v>43132090</v>
      </c>
    </row>
    <row r="135" spans="1:3">
      <c r="A135" s="4">
        <v>43405</v>
      </c>
      <c r="B135" s="5" t="s">
        <v>15</v>
      </c>
      <c r="C135" s="5">
        <v>25141746</v>
      </c>
    </row>
    <row r="136" spans="1:3">
      <c r="A136" s="4">
        <v>43405</v>
      </c>
      <c r="B136" s="5" t="s">
        <v>16</v>
      </c>
      <c r="C136" s="5">
        <v>21391990</v>
      </c>
    </row>
    <row r="137" spans="1:3">
      <c r="A137" s="4">
        <v>43405</v>
      </c>
      <c r="B137" s="5" t="s">
        <v>17</v>
      </c>
      <c r="C137" s="5">
        <v>55705843</v>
      </c>
    </row>
    <row r="138" spans="1:3">
      <c r="A138" s="4">
        <v>43405</v>
      </c>
      <c r="B138" s="5" t="s">
        <v>18</v>
      </c>
      <c r="C138" s="5">
        <v>35878072</v>
      </c>
    </row>
    <row r="139" spans="1:3">
      <c r="A139" s="4">
        <v>43405</v>
      </c>
      <c r="B139" s="5" t="s">
        <v>19</v>
      </c>
      <c r="C139" s="5">
        <v>37758366</v>
      </c>
    </row>
    <row r="140" spans="1:3">
      <c r="A140" s="4">
        <v>43435</v>
      </c>
      <c r="B140" s="5" t="s">
        <v>14</v>
      </c>
      <c r="C140" s="5">
        <v>40070238</v>
      </c>
    </row>
    <row r="141" spans="1:3">
      <c r="A141" s="4">
        <v>43435</v>
      </c>
      <c r="B141" s="5" t="s">
        <v>15</v>
      </c>
      <c r="C141" s="5">
        <v>38207539</v>
      </c>
    </row>
    <row r="142" spans="1:3">
      <c r="A142" s="4">
        <v>43435</v>
      </c>
      <c r="B142" s="5" t="s">
        <v>16</v>
      </c>
      <c r="C142" s="5">
        <v>12599288</v>
      </c>
    </row>
    <row r="143" spans="1:3">
      <c r="A143" s="4">
        <v>43435</v>
      </c>
      <c r="B143" s="5" t="s">
        <v>17</v>
      </c>
      <c r="C143" s="5">
        <v>27322396</v>
      </c>
    </row>
    <row r="144" spans="1:3">
      <c r="A144" s="4">
        <v>43435</v>
      </c>
      <c r="B144" s="5" t="s">
        <v>18</v>
      </c>
      <c r="C144" s="5">
        <v>28062918</v>
      </c>
    </row>
    <row r="145" spans="1:3">
      <c r="A145" s="4">
        <v>43435</v>
      </c>
      <c r="B145" s="5" t="s">
        <v>19</v>
      </c>
      <c r="C145" s="5">
        <v>24411285</v>
      </c>
    </row>
    <row r="146" spans="1:3">
      <c r="A146" s="4">
        <v>43466</v>
      </c>
      <c r="B146" s="5" t="s">
        <v>14</v>
      </c>
      <c r="C146" s="5">
        <v>15696143</v>
      </c>
    </row>
    <row r="147" spans="1:3">
      <c r="A147" s="4">
        <v>43466</v>
      </c>
      <c r="B147" s="5" t="s">
        <v>15</v>
      </c>
      <c r="C147" s="5">
        <v>13741117</v>
      </c>
    </row>
    <row r="148" spans="1:3">
      <c r="A148" s="4">
        <v>43466</v>
      </c>
      <c r="B148" s="5" t="s">
        <v>16</v>
      </c>
      <c r="C148" s="5">
        <v>12886894</v>
      </c>
    </row>
    <row r="149" spans="1:3">
      <c r="A149" s="4">
        <v>43466</v>
      </c>
      <c r="B149" s="5" t="s">
        <v>17</v>
      </c>
      <c r="C149" s="5">
        <v>12767950</v>
      </c>
    </row>
    <row r="150" spans="1:3">
      <c r="A150" s="4">
        <v>43466</v>
      </c>
      <c r="B150" s="5" t="s">
        <v>18</v>
      </c>
      <c r="C150" s="5">
        <v>24202129</v>
      </c>
    </row>
    <row r="151" spans="1:3">
      <c r="A151" s="4">
        <v>43466</v>
      </c>
      <c r="B151" s="5" t="s">
        <v>19</v>
      </c>
      <c r="C151" s="5">
        <v>18369843</v>
      </c>
    </row>
    <row r="152" spans="1:3">
      <c r="A152" s="4">
        <v>43497</v>
      </c>
      <c r="B152" s="5" t="s">
        <v>14</v>
      </c>
      <c r="C152" s="5">
        <v>45894844</v>
      </c>
    </row>
    <row r="153" spans="1:3">
      <c r="A153" s="4">
        <v>43497</v>
      </c>
      <c r="B153" s="5" t="s">
        <v>15</v>
      </c>
      <c r="C153" s="5">
        <v>37129065</v>
      </c>
    </row>
    <row r="154" spans="1:3">
      <c r="A154" s="4">
        <v>43497</v>
      </c>
      <c r="B154" s="5" t="s">
        <v>16</v>
      </c>
      <c r="C154" s="5">
        <v>63044471</v>
      </c>
    </row>
    <row r="155" spans="1:3">
      <c r="A155" s="4">
        <v>43497</v>
      </c>
      <c r="B155" s="5" t="s">
        <v>17</v>
      </c>
      <c r="C155" s="5">
        <v>42598063</v>
      </c>
    </row>
    <row r="156" spans="1:3">
      <c r="A156" s="4">
        <v>43497</v>
      </c>
      <c r="B156" s="5" t="s">
        <v>18</v>
      </c>
      <c r="C156" s="5">
        <v>52816632</v>
      </c>
    </row>
    <row r="157" spans="1:3">
      <c r="A157" s="4">
        <v>43497</v>
      </c>
      <c r="B157" s="5" t="s">
        <v>19</v>
      </c>
      <c r="C157" s="5">
        <v>47272214</v>
      </c>
    </row>
    <row r="158" spans="1:3">
      <c r="A158" s="4">
        <v>43525</v>
      </c>
      <c r="B158" s="5" t="s">
        <v>14</v>
      </c>
      <c r="C158" s="5">
        <v>48507617</v>
      </c>
    </row>
    <row r="159" spans="1:3">
      <c r="A159" s="4">
        <v>43525</v>
      </c>
      <c r="B159" s="5" t="s">
        <v>15</v>
      </c>
      <c r="C159" s="5">
        <v>55653428</v>
      </c>
    </row>
    <row r="160" spans="1:3">
      <c r="A160" s="4">
        <v>43525</v>
      </c>
      <c r="B160" s="5" t="s">
        <v>16</v>
      </c>
      <c r="C160" s="5">
        <v>39625451</v>
      </c>
    </row>
    <row r="161" spans="1:3">
      <c r="A161" s="4">
        <v>43525</v>
      </c>
      <c r="B161" s="5" t="s">
        <v>17</v>
      </c>
      <c r="C161" s="5">
        <v>47423482</v>
      </c>
    </row>
    <row r="162" spans="1:3">
      <c r="A162" s="4">
        <v>43525</v>
      </c>
      <c r="B162" s="5" t="s">
        <v>18</v>
      </c>
      <c r="C162" s="5">
        <v>51308816</v>
      </c>
    </row>
    <row r="163" spans="1:3">
      <c r="A163" s="4">
        <v>43525</v>
      </c>
      <c r="B163" s="5" t="s">
        <v>19</v>
      </c>
      <c r="C163" s="5">
        <v>59766214</v>
      </c>
    </row>
    <row r="164" spans="1:3">
      <c r="A164" s="4">
        <v>43556</v>
      </c>
      <c r="B164" s="5" t="s">
        <v>14</v>
      </c>
      <c r="C164" s="5">
        <v>75476855</v>
      </c>
    </row>
    <row r="165" spans="1:3">
      <c r="A165" s="4">
        <v>43556</v>
      </c>
      <c r="B165" s="5" t="s">
        <v>15</v>
      </c>
      <c r="C165" s="5">
        <v>21639579</v>
      </c>
    </row>
    <row r="166" spans="1:3">
      <c r="A166" s="4">
        <v>43556</v>
      </c>
      <c r="B166" s="5" t="s">
        <v>16</v>
      </c>
      <c r="C166" s="5">
        <v>21931436</v>
      </c>
    </row>
    <row r="167" spans="1:3">
      <c r="A167" s="4">
        <v>43556</v>
      </c>
      <c r="B167" s="5" t="s">
        <v>17</v>
      </c>
      <c r="C167" s="5">
        <v>29217030</v>
      </c>
    </row>
    <row r="168" spans="1:3">
      <c r="A168" s="4">
        <v>43556</v>
      </c>
      <c r="B168" s="5" t="s">
        <v>18</v>
      </c>
      <c r="C168" s="5">
        <v>48873874</v>
      </c>
    </row>
    <row r="169" spans="1:3">
      <c r="A169" s="4">
        <v>43556</v>
      </c>
      <c r="B169" s="5" t="s">
        <v>19</v>
      </c>
      <c r="C169" s="5">
        <v>32274897</v>
      </c>
    </row>
    <row r="170" spans="1:3">
      <c r="A170" s="4">
        <v>43586</v>
      </c>
      <c r="B170" s="5" t="s">
        <v>14</v>
      </c>
      <c r="C170" s="5">
        <v>31297436.181820001</v>
      </c>
    </row>
    <row r="171" spans="1:3">
      <c r="A171" s="4">
        <v>43586</v>
      </c>
      <c r="B171" s="5" t="s">
        <v>15</v>
      </c>
      <c r="C171" s="5">
        <v>33934573.043797098</v>
      </c>
    </row>
    <row r="172" spans="1:3">
      <c r="A172" s="4">
        <v>43586</v>
      </c>
      <c r="B172" s="5" t="s">
        <v>16</v>
      </c>
      <c r="C172" s="5">
        <v>24293300.885846201</v>
      </c>
    </row>
    <row r="173" spans="1:3">
      <c r="A173" s="4">
        <v>43586</v>
      </c>
      <c r="B173" s="5" t="s">
        <v>17</v>
      </c>
      <c r="C173" s="5">
        <v>49552372.962239303</v>
      </c>
    </row>
    <row r="174" spans="1:3">
      <c r="A174" s="4">
        <v>43586</v>
      </c>
      <c r="B174" s="5" t="s">
        <v>18</v>
      </c>
      <c r="C174" s="5">
        <v>32531714.116942499</v>
      </c>
    </row>
    <row r="175" spans="1:3">
      <c r="A175" s="4">
        <v>43586</v>
      </c>
      <c r="B175" s="5" t="s">
        <v>19</v>
      </c>
      <c r="C175" s="5">
        <v>36379450.065326601</v>
      </c>
    </row>
    <row r="176" spans="1:3">
      <c r="A176" s="4">
        <v>43617</v>
      </c>
      <c r="B176" s="5" t="s">
        <v>14</v>
      </c>
      <c r="C176" s="5">
        <v>45254225</v>
      </c>
    </row>
    <row r="177" spans="1:3">
      <c r="A177" s="4">
        <v>43617</v>
      </c>
      <c r="B177" s="5" t="s">
        <v>15</v>
      </c>
      <c r="C177" s="5">
        <v>31127319.5</v>
      </c>
    </row>
    <row r="178" spans="1:3">
      <c r="A178" s="4">
        <v>43617</v>
      </c>
      <c r="B178" s="5" t="s">
        <v>16</v>
      </c>
      <c r="C178" s="5">
        <v>18348434</v>
      </c>
    </row>
    <row r="179" spans="1:3">
      <c r="A179" s="4">
        <v>43617</v>
      </c>
      <c r="B179" s="5" t="s">
        <v>17</v>
      </c>
      <c r="C179" s="5">
        <v>32778466.800000001</v>
      </c>
    </row>
    <row r="180" spans="1:3">
      <c r="A180" s="4">
        <v>43617</v>
      </c>
      <c r="B180" s="5" t="s">
        <v>18</v>
      </c>
      <c r="C180" s="5">
        <v>45805990</v>
      </c>
    </row>
    <row r="181" spans="1:3">
      <c r="A181" s="4">
        <v>43617</v>
      </c>
      <c r="B181" s="5" t="s">
        <v>19</v>
      </c>
      <c r="C181" s="5">
        <v>31686484</v>
      </c>
    </row>
    <row r="182" spans="1:3">
      <c r="A182" s="4">
        <v>43647</v>
      </c>
      <c r="B182" s="5" t="s">
        <v>14</v>
      </c>
      <c r="C182" s="5">
        <v>44468591</v>
      </c>
    </row>
    <row r="183" spans="1:3">
      <c r="A183" s="4">
        <v>43647</v>
      </c>
      <c r="B183" s="5" t="s">
        <v>15</v>
      </c>
      <c r="C183" s="5">
        <v>29163844</v>
      </c>
    </row>
    <row r="184" spans="1:3">
      <c r="A184" s="4">
        <v>43647</v>
      </c>
      <c r="B184" s="5" t="s">
        <v>16</v>
      </c>
      <c r="C184" s="5">
        <v>29475787</v>
      </c>
    </row>
    <row r="185" spans="1:3">
      <c r="A185" s="4">
        <v>43647</v>
      </c>
      <c r="B185" s="5" t="s">
        <v>17</v>
      </c>
      <c r="C185" s="5">
        <v>27444217</v>
      </c>
    </row>
    <row r="186" spans="1:3">
      <c r="A186" s="4">
        <v>43647</v>
      </c>
      <c r="B186" s="5" t="s">
        <v>18</v>
      </c>
      <c r="C186" s="5">
        <v>34369310</v>
      </c>
    </row>
    <row r="187" spans="1:3">
      <c r="A187" s="4">
        <v>43647</v>
      </c>
      <c r="B187" s="5" t="s">
        <v>19</v>
      </c>
      <c r="C187" s="5">
        <v>36790947</v>
      </c>
    </row>
    <row r="188" spans="1:3">
      <c r="A188" s="4">
        <v>43678</v>
      </c>
      <c r="B188" s="5" t="s">
        <v>14</v>
      </c>
      <c r="C188" s="5">
        <v>166894119</v>
      </c>
    </row>
    <row r="189" spans="1:3">
      <c r="A189" s="4">
        <v>43678</v>
      </c>
      <c r="B189" s="5" t="s">
        <v>15</v>
      </c>
      <c r="C189" s="5">
        <v>77366233</v>
      </c>
    </row>
    <row r="190" spans="1:3">
      <c r="A190" s="4">
        <v>43678</v>
      </c>
      <c r="B190" s="5" t="s">
        <v>16</v>
      </c>
      <c r="C190" s="5">
        <v>27401002</v>
      </c>
    </row>
    <row r="191" spans="1:3">
      <c r="A191" s="4">
        <v>43678</v>
      </c>
      <c r="B191" s="5" t="s">
        <v>17</v>
      </c>
      <c r="C191" s="5">
        <v>65242493</v>
      </c>
    </row>
    <row r="192" spans="1:3">
      <c r="A192" s="4">
        <v>43678</v>
      </c>
      <c r="B192" s="5" t="s">
        <v>18</v>
      </c>
      <c r="C192" s="5">
        <v>65541075</v>
      </c>
    </row>
    <row r="193" spans="1:3">
      <c r="A193" s="4">
        <v>43678</v>
      </c>
      <c r="B193" s="5" t="s">
        <v>19</v>
      </c>
      <c r="C193" s="5">
        <v>77810409</v>
      </c>
    </row>
    <row r="194" spans="1:3">
      <c r="A194" s="4">
        <v>43709</v>
      </c>
      <c r="B194" s="5" t="s">
        <v>14</v>
      </c>
      <c r="C194" s="5">
        <v>42232035</v>
      </c>
    </row>
    <row r="195" spans="1:3">
      <c r="A195" s="4">
        <v>43709</v>
      </c>
      <c r="B195" s="5" t="s">
        <v>15</v>
      </c>
      <c r="C195" s="5">
        <v>36333701</v>
      </c>
    </row>
    <row r="196" spans="1:3">
      <c r="A196" s="4">
        <v>43709</v>
      </c>
      <c r="B196" s="5" t="s">
        <v>16</v>
      </c>
      <c r="C196" s="5">
        <v>38284986</v>
      </c>
    </row>
    <row r="197" spans="1:3">
      <c r="A197" s="4">
        <v>43709</v>
      </c>
      <c r="B197" s="5" t="s">
        <v>17</v>
      </c>
      <c r="C197" s="5">
        <v>42971587</v>
      </c>
    </row>
    <row r="198" spans="1:3">
      <c r="A198" s="4">
        <v>43709</v>
      </c>
      <c r="B198" s="5" t="s">
        <v>18</v>
      </c>
      <c r="C198" s="5">
        <v>59425200</v>
      </c>
    </row>
    <row r="199" spans="1:3">
      <c r="A199" s="4">
        <v>43709</v>
      </c>
      <c r="B199" s="5" t="s">
        <v>19</v>
      </c>
      <c r="C199" s="5">
        <v>22787400</v>
      </c>
    </row>
    <row r="200" spans="1:3">
      <c r="A200" s="4">
        <v>43739</v>
      </c>
      <c r="B200" s="5" t="s">
        <v>14</v>
      </c>
      <c r="C200" s="5">
        <v>41506395</v>
      </c>
    </row>
    <row r="201" spans="1:3">
      <c r="A201" s="4">
        <v>43739</v>
      </c>
      <c r="B201" s="5" t="s">
        <v>15</v>
      </c>
      <c r="C201" s="5">
        <v>25792969</v>
      </c>
    </row>
    <row r="202" spans="1:3">
      <c r="A202" s="4">
        <v>43739</v>
      </c>
      <c r="B202" s="5" t="s">
        <v>16</v>
      </c>
      <c r="C202" s="5">
        <v>33827023</v>
      </c>
    </row>
    <row r="203" spans="1:3">
      <c r="A203" s="4">
        <v>43739</v>
      </c>
      <c r="B203" s="5" t="s">
        <v>17</v>
      </c>
      <c r="C203" s="5">
        <v>22479714</v>
      </c>
    </row>
    <row r="204" spans="1:3">
      <c r="A204" s="4">
        <v>43739</v>
      </c>
      <c r="B204" s="5" t="s">
        <v>18</v>
      </c>
      <c r="C204" s="5">
        <v>30903789</v>
      </c>
    </row>
    <row r="205" spans="1:3">
      <c r="A205" s="4">
        <v>43739</v>
      </c>
      <c r="B205" s="5" t="s">
        <v>19</v>
      </c>
      <c r="C205" s="5">
        <v>33120669</v>
      </c>
    </row>
    <row r="206" spans="1:3">
      <c r="A206" s="4">
        <v>43770</v>
      </c>
      <c r="B206" s="5" t="s">
        <v>14</v>
      </c>
      <c r="C206" s="5">
        <v>48063528</v>
      </c>
    </row>
    <row r="207" spans="1:3">
      <c r="A207" s="4">
        <v>43770</v>
      </c>
      <c r="B207" s="5" t="s">
        <v>15</v>
      </c>
      <c r="C207" s="5">
        <v>39420105</v>
      </c>
    </row>
    <row r="208" spans="1:3">
      <c r="A208" s="4">
        <v>43770</v>
      </c>
      <c r="B208" s="5" t="s">
        <v>16</v>
      </c>
      <c r="C208" s="5">
        <v>23001683</v>
      </c>
    </row>
    <row r="209" spans="1:3">
      <c r="A209" s="4">
        <v>43770</v>
      </c>
      <c r="B209" s="5" t="s">
        <v>17</v>
      </c>
      <c r="C209" s="5">
        <v>49673716</v>
      </c>
    </row>
    <row r="210" spans="1:3">
      <c r="A210" s="4">
        <v>43770</v>
      </c>
      <c r="B210" s="5" t="s">
        <v>18</v>
      </c>
      <c r="C210" s="5">
        <v>49741391</v>
      </c>
    </row>
    <row r="211" spans="1:3">
      <c r="A211" s="4">
        <v>43770</v>
      </c>
      <c r="B211" s="5" t="s">
        <v>19</v>
      </c>
      <c r="C211" s="5">
        <v>45214162</v>
      </c>
    </row>
    <row r="212" spans="1:3">
      <c r="A212" s="4">
        <v>43800</v>
      </c>
      <c r="B212" s="5" t="s">
        <v>14</v>
      </c>
      <c r="C212" s="5">
        <v>38949388.102040797</v>
      </c>
    </row>
    <row r="213" spans="1:3">
      <c r="A213" s="4">
        <v>43800</v>
      </c>
      <c r="B213" s="5" t="s">
        <v>15</v>
      </c>
      <c r="C213" s="5">
        <v>25985858</v>
      </c>
    </row>
    <row r="214" spans="1:3">
      <c r="A214" s="4">
        <v>43800</v>
      </c>
      <c r="B214" s="5" t="s">
        <v>16</v>
      </c>
      <c r="C214" s="5">
        <v>63141132.023070097</v>
      </c>
    </row>
    <row r="215" spans="1:3">
      <c r="A215" s="4">
        <v>43800</v>
      </c>
      <c r="B215" s="5" t="s">
        <v>17</v>
      </c>
      <c r="C215" s="5">
        <v>28028173.507525101</v>
      </c>
    </row>
    <row r="216" spans="1:3">
      <c r="A216" s="4">
        <v>43800</v>
      </c>
      <c r="B216" s="5" t="s">
        <v>18</v>
      </c>
      <c r="C216" s="5">
        <v>47921770.019657403</v>
      </c>
    </row>
    <row r="217" spans="1:3">
      <c r="A217" s="4">
        <v>43800</v>
      </c>
      <c r="B217" s="5" t="s">
        <v>19</v>
      </c>
      <c r="C217" s="5">
        <v>29054920.571428601</v>
      </c>
    </row>
    <row r="218" spans="1:3">
      <c r="A218" s="4">
        <v>43831</v>
      </c>
      <c r="B218" s="5" t="s">
        <v>14</v>
      </c>
      <c r="C218" s="5">
        <v>29550235</v>
      </c>
    </row>
    <row r="219" spans="1:3">
      <c r="A219" s="4">
        <v>43831</v>
      </c>
      <c r="B219" s="5" t="s">
        <v>15</v>
      </c>
      <c r="C219" s="5">
        <v>24020027</v>
      </c>
    </row>
    <row r="220" spans="1:3">
      <c r="A220" s="4">
        <v>43831</v>
      </c>
      <c r="B220" s="5" t="s">
        <v>16</v>
      </c>
      <c r="C220" s="5">
        <v>19626430</v>
      </c>
    </row>
    <row r="221" spans="1:3">
      <c r="A221" s="4">
        <v>43831</v>
      </c>
      <c r="B221" s="5" t="s">
        <v>17</v>
      </c>
      <c r="C221" s="5">
        <v>26222961</v>
      </c>
    </row>
    <row r="222" spans="1:3">
      <c r="A222" s="4">
        <v>43831</v>
      </c>
      <c r="B222" s="5" t="s">
        <v>18</v>
      </c>
      <c r="C222" s="5">
        <v>36796429</v>
      </c>
    </row>
    <row r="223" spans="1:3">
      <c r="A223" s="4">
        <v>43831</v>
      </c>
      <c r="B223" s="5" t="s">
        <v>19</v>
      </c>
      <c r="C223" s="5">
        <v>34508551</v>
      </c>
    </row>
    <row r="224" spans="1:3">
      <c r="A224" s="4">
        <v>43862</v>
      </c>
      <c r="B224" s="5" t="s">
        <v>14</v>
      </c>
      <c r="C224" s="5">
        <v>31207706</v>
      </c>
    </row>
    <row r="225" spans="1:3">
      <c r="A225" s="4">
        <v>43862</v>
      </c>
      <c r="B225" s="5" t="s">
        <v>15</v>
      </c>
      <c r="C225" s="5">
        <v>35714611</v>
      </c>
    </row>
    <row r="226" spans="1:3">
      <c r="A226" s="4">
        <v>43862</v>
      </c>
      <c r="B226" s="5" t="s">
        <v>16</v>
      </c>
      <c r="C226" s="5">
        <v>24546665</v>
      </c>
    </row>
    <row r="227" spans="1:3">
      <c r="A227" s="4">
        <v>43862</v>
      </c>
      <c r="B227" s="5" t="s">
        <v>17</v>
      </c>
      <c r="C227" s="5">
        <v>27369146</v>
      </c>
    </row>
    <row r="228" spans="1:3">
      <c r="A228" s="4">
        <v>43862</v>
      </c>
      <c r="B228" s="5" t="s">
        <v>18</v>
      </c>
      <c r="C228" s="5">
        <v>44079009</v>
      </c>
    </row>
    <row r="229" spans="1:3">
      <c r="A229" s="4">
        <v>43862</v>
      </c>
      <c r="B229" s="5" t="s">
        <v>19</v>
      </c>
      <c r="C229" s="5">
        <v>36388904</v>
      </c>
    </row>
    <row r="230" spans="1:3">
      <c r="A230" s="4">
        <v>43891</v>
      </c>
      <c r="B230" s="5" t="s">
        <v>14</v>
      </c>
      <c r="C230" s="5">
        <v>31734018</v>
      </c>
    </row>
    <row r="231" spans="1:3">
      <c r="A231" s="4">
        <v>43891</v>
      </c>
      <c r="B231" s="5" t="s">
        <v>15</v>
      </c>
      <c r="C231" s="5">
        <v>34743102</v>
      </c>
    </row>
    <row r="232" spans="1:3">
      <c r="A232" s="4">
        <v>43891</v>
      </c>
      <c r="B232" s="5" t="s">
        <v>16</v>
      </c>
      <c r="C232" s="5">
        <v>26577751</v>
      </c>
    </row>
    <row r="233" spans="1:3">
      <c r="A233" s="4">
        <v>43891</v>
      </c>
      <c r="B233" s="5" t="s">
        <v>17</v>
      </c>
      <c r="C233" s="5">
        <v>32053797</v>
      </c>
    </row>
    <row r="234" spans="1:3">
      <c r="A234" s="4">
        <v>43891</v>
      </c>
      <c r="B234" s="5" t="s">
        <v>18</v>
      </c>
      <c r="C234" s="5">
        <v>46817882</v>
      </c>
    </row>
    <row r="235" spans="1:3">
      <c r="A235" s="4">
        <v>43891</v>
      </c>
      <c r="B235" s="5" t="s">
        <v>19</v>
      </c>
      <c r="C235" s="5">
        <v>36103099</v>
      </c>
    </row>
    <row r="236" spans="1:3">
      <c r="A236" s="4">
        <v>43922</v>
      </c>
      <c r="B236" s="5" t="s">
        <v>14</v>
      </c>
      <c r="C236" s="5">
        <v>25537359</v>
      </c>
    </row>
    <row r="237" spans="1:3">
      <c r="A237" s="4">
        <v>43922</v>
      </c>
      <c r="B237" s="5" t="s">
        <v>15</v>
      </c>
      <c r="C237" s="5">
        <v>22965215</v>
      </c>
    </row>
    <row r="238" spans="1:3">
      <c r="A238" s="4">
        <v>43922</v>
      </c>
      <c r="B238" s="5" t="s">
        <v>16</v>
      </c>
      <c r="C238" s="5">
        <v>16313370</v>
      </c>
    </row>
    <row r="239" spans="1:3">
      <c r="A239" s="4">
        <v>43922</v>
      </c>
      <c r="B239" s="5" t="s">
        <v>17</v>
      </c>
      <c r="C239" s="5">
        <v>22180137</v>
      </c>
    </row>
    <row r="240" spans="1:3">
      <c r="A240" s="4">
        <v>43922</v>
      </c>
      <c r="B240" s="5" t="s">
        <v>18</v>
      </c>
      <c r="C240" s="5">
        <v>20182211</v>
      </c>
    </row>
    <row r="241" spans="1:3">
      <c r="A241" s="4">
        <v>43922</v>
      </c>
      <c r="B241" s="5" t="s">
        <v>19</v>
      </c>
      <c r="C241" s="5">
        <v>28231616</v>
      </c>
    </row>
    <row r="242" spans="1:3">
      <c r="A242" s="4">
        <v>43952</v>
      </c>
      <c r="B242" s="5" t="s">
        <v>14</v>
      </c>
      <c r="C242" s="5">
        <v>37032714</v>
      </c>
    </row>
    <row r="243" spans="1:3">
      <c r="A243" s="4">
        <v>43952</v>
      </c>
      <c r="B243" s="5" t="s">
        <v>15</v>
      </c>
      <c r="C243" s="5">
        <v>34557041</v>
      </c>
    </row>
    <row r="244" spans="1:3">
      <c r="A244" s="4">
        <v>43952</v>
      </c>
      <c r="B244" s="5" t="s">
        <v>16</v>
      </c>
      <c r="C244" s="5">
        <v>28445709</v>
      </c>
    </row>
    <row r="245" spans="1:3">
      <c r="A245" s="4">
        <v>43952</v>
      </c>
      <c r="B245" s="5" t="s">
        <v>17</v>
      </c>
      <c r="C245" s="5">
        <v>21841244</v>
      </c>
    </row>
    <row r="246" spans="1:3">
      <c r="A246" s="4">
        <v>43952</v>
      </c>
      <c r="B246" s="5" t="s">
        <v>18</v>
      </c>
      <c r="C246" s="5">
        <v>43135061</v>
      </c>
    </row>
    <row r="247" spans="1:3">
      <c r="A247" s="4">
        <v>43952</v>
      </c>
      <c r="B247" s="5" t="s">
        <v>19</v>
      </c>
      <c r="C247" s="5">
        <v>34099290</v>
      </c>
    </row>
    <row r="248" spans="1:3">
      <c r="A248" s="4">
        <v>43983</v>
      </c>
      <c r="B248" s="5" t="s">
        <v>14</v>
      </c>
      <c r="C248" s="5">
        <v>53278985</v>
      </c>
    </row>
    <row r="249" spans="1:3">
      <c r="A249" s="4">
        <v>43983</v>
      </c>
      <c r="B249" s="5" t="s">
        <v>15</v>
      </c>
      <c r="C249" s="5">
        <v>36123935</v>
      </c>
    </row>
    <row r="250" spans="1:3">
      <c r="A250" s="4">
        <v>43983</v>
      </c>
      <c r="B250" s="5" t="s">
        <v>16</v>
      </c>
      <c r="C250" s="5">
        <v>34264313</v>
      </c>
    </row>
    <row r="251" spans="1:3">
      <c r="A251" s="4">
        <v>43983</v>
      </c>
      <c r="B251" s="5" t="s">
        <v>17</v>
      </c>
      <c r="C251" s="5">
        <v>30747303</v>
      </c>
    </row>
    <row r="252" spans="1:3">
      <c r="A252" s="4">
        <v>43983</v>
      </c>
      <c r="B252" s="5" t="s">
        <v>18</v>
      </c>
      <c r="C252" s="5">
        <v>42369129</v>
      </c>
    </row>
    <row r="253" spans="1:3">
      <c r="A253" s="4">
        <v>43983</v>
      </c>
      <c r="B253" s="5" t="s">
        <v>19</v>
      </c>
      <c r="C253" s="5">
        <v>31582013</v>
      </c>
    </row>
    <row r="254" spans="1:3">
      <c r="A254" s="4">
        <v>44013</v>
      </c>
      <c r="B254" s="5" t="s">
        <v>14</v>
      </c>
      <c r="C254" s="5">
        <v>49574868</v>
      </c>
    </row>
    <row r="255" spans="1:3">
      <c r="A255" s="4">
        <v>44013</v>
      </c>
      <c r="B255" s="5" t="s">
        <v>15</v>
      </c>
      <c r="C255" s="5">
        <v>31261836</v>
      </c>
    </row>
    <row r="256" spans="1:3">
      <c r="A256" s="4">
        <v>44013</v>
      </c>
      <c r="B256" s="5" t="s">
        <v>16</v>
      </c>
      <c r="C256" s="5">
        <v>46031739</v>
      </c>
    </row>
    <row r="257" spans="1:3">
      <c r="A257" s="4">
        <v>44013</v>
      </c>
      <c r="B257" s="5" t="s">
        <v>17</v>
      </c>
      <c r="C257" s="5">
        <v>60115750</v>
      </c>
    </row>
    <row r="258" spans="1:3">
      <c r="A258" s="4">
        <v>44013</v>
      </c>
      <c r="B258" s="5" t="s">
        <v>18</v>
      </c>
      <c r="C258" s="5">
        <v>49925245</v>
      </c>
    </row>
    <row r="259" spans="1:3">
      <c r="A259" s="4">
        <v>44013</v>
      </c>
      <c r="B259" s="5" t="s">
        <v>19</v>
      </c>
      <c r="C259" s="5">
        <v>36427017</v>
      </c>
    </row>
    <row r="260" spans="1:3">
      <c r="A260" s="4">
        <v>44044</v>
      </c>
      <c r="B260" s="5" t="s">
        <v>14</v>
      </c>
      <c r="C260" s="5">
        <v>32691037</v>
      </c>
    </row>
    <row r="261" spans="1:3">
      <c r="A261" s="4">
        <v>44044</v>
      </c>
      <c r="B261" s="5" t="s">
        <v>15</v>
      </c>
      <c r="C261" s="5">
        <v>32702850</v>
      </c>
    </row>
    <row r="262" spans="1:3">
      <c r="A262" s="4">
        <v>44044</v>
      </c>
      <c r="B262" s="5" t="s">
        <v>16</v>
      </c>
      <c r="C262" s="5">
        <v>26493012</v>
      </c>
    </row>
    <row r="263" spans="1:3">
      <c r="A263" s="4">
        <v>44044</v>
      </c>
      <c r="B263" s="5" t="s">
        <v>17</v>
      </c>
      <c r="C263" s="5">
        <v>37295095</v>
      </c>
    </row>
    <row r="264" spans="1:3">
      <c r="A264" s="4">
        <v>44044</v>
      </c>
      <c r="B264" s="5" t="s">
        <v>18</v>
      </c>
      <c r="C264" s="5">
        <v>36257047</v>
      </c>
    </row>
    <row r="265" spans="1:3">
      <c r="A265" s="4">
        <v>44044</v>
      </c>
      <c r="B265" s="5" t="s">
        <v>19</v>
      </c>
      <c r="C265" s="5">
        <v>28928590</v>
      </c>
    </row>
    <row r="266" spans="1:3">
      <c r="A266" s="4">
        <v>44075</v>
      </c>
      <c r="B266" s="5" t="s">
        <v>14</v>
      </c>
      <c r="C266" s="5">
        <v>43865488</v>
      </c>
    </row>
    <row r="267" spans="1:3">
      <c r="A267" s="4">
        <v>44075</v>
      </c>
      <c r="B267" s="5" t="s">
        <v>15</v>
      </c>
      <c r="C267" s="5">
        <v>34985330</v>
      </c>
    </row>
    <row r="268" spans="1:3">
      <c r="A268" s="4">
        <v>44075</v>
      </c>
      <c r="B268" s="5" t="s">
        <v>16</v>
      </c>
      <c r="C268" s="5">
        <v>19328987</v>
      </c>
    </row>
    <row r="269" spans="1:3">
      <c r="A269" s="4">
        <v>44075</v>
      </c>
      <c r="B269" s="5" t="s">
        <v>17</v>
      </c>
      <c r="C269" s="5">
        <v>30939171</v>
      </c>
    </row>
    <row r="270" spans="1:3">
      <c r="A270" s="4">
        <v>44075</v>
      </c>
      <c r="B270" s="5" t="s">
        <v>18</v>
      </c>
      <c r="C270" s="5">
        <v>62348015</v>
      </c>
    </row>
    <row r="271" spans="1:3">
      <c r="A271" s="4">
        <v>44075</v>
      </c>
      <c r="B271" s="5" t="s">
        <v>19</v>
      </c>
      <c r="C271" s="5">
        <v>43643444</v>
      </c>
    </row>
    <row r="272" spans="1:3">
      <c r="A272" s="4">
        <v>44105</v>
      </c>
      <c r="B272" s="5" t="s">
        <v>14</v>
      </c>
      <c r="C272" s="5">
        <v>25354506</v>
      </c>
    </row>
    <row r="273" spans="1:3">
      <c r="A273" s="4">
        <v>44105</v>
      </c>
      <c r="B273" s="5" t="s">
        <v>15</v>
      </c>
      <c r="C273" s="5">
        <v>27270187</v>
      </c>
    </row>
    <row r="274" spans="1:3">
      <c r="A274" s="4">
        <v>44105</v>
      </c>
      <c r="B274" s="5" t="s">
        <v>16</v>
      </c>
      <c r="C274" s="5">
        <v>59169164</v>
      </c>
    </row>
    <row r="275" spans="1:3">
      <c r="A275" s="4">
        <v>44105</v>
      </c>
      <c r="B275" s="5" t="s">
        <v>17</v>
      </c>
      <c r="C275" s="5">
        <v>31585315</v>
      </c>
    </row>
    <row r="276" spans="1:3">
      <c r="A276" s="4">
        <v>44105</v>
      </c>
      <c r="B276" s="5" t="s">
        <v>18</v>
      </c>
      <c r="C276" s="5">
        <v>27374725</v>
      </c>
    </row>
    <row r="277" spans="1:3">
      <c r="A277" s="4">
        <v>44105</v>
      </c>
      <c r="B277" s="5" t="s">
        <v>19</v>
      </c>
      <c r="C277" s="5">
        <v>34089995</v>
      </c>
    </row>
    <row r="278" spans="1:3">
      <c r="A278" s="4">
        <v>44136</v>
      </c>
      <c r="B278" s="5" t="s">
        <v>14</v>
      </c>
      <c r="C278" s="5">
        <v>60087138</v>
      </c>
    </row>
    <row r="279" spans="1:3">
      <c r="A279" s="4">
        <v>44136</v>
      </c>
      <c r="B279" s="5" t="s">
        <v>15</v>
      </c>
      <c r="C279" s="5">
        <v>50638246</v>
      </c>
    </row>
    <row r="280" spans="1:3">
      <c r="A280" s="4">
        <v>44136</v>
      </c>
      <c r="B280" s="5" t="s">
        <v>16</v>
      </c>
      <c r="C280" s="5">
        <v>37170308</v>
      </c>
    </row>
    <row r="281" spans="1:3">
      <c r="A281" s="4">
        <v>44136</v>
      </c>
      <c r="B281" s="5" t="s">
        <v>17</v>
      </c>
      <c r="C281" s="5">
        <v>47501922</v>
      </c>
    </row>
    <row r="282" spans="1:3">
      <c r="A282" s="4">
        <v>44136</v>
      </c>
      <c r="B282" s="5" t="s">
        <v>18</v>
      </c>
      <c r="C282" s="5">
        <v>43027347</v>
      </c>
    </row>
    <row r="283" spans="1:3">
      <c r="A283" s="4">
        <v>44136</v>
      </c>
      <c r="B283" s="5" t="s">
        <v>19</v>
      </c>
      <c r="C283" s="5">
        <v>66357912</v>
      </c>
    </row>
    <row r="284" spans="1:3">
      <c r="A284" s="4">
        <v>44166</v>
      </c>
      <c r="B284" s="5" t="s">
        <v>14</v>
      </c>
      <c r="C284" s="5">
        <v>71164320</v>
      </c>
    </row>
    <row r="285" spans="1:3">
      <c r="A285" s="4">
        <v>44166</v>
      </c>
      <c r="B285" s="5" t="s">
        <v>15</v>
      </c>
      <c r="C285" s="5">
        <v>44564882</v>
      </c>
    </row>
    <row r="286" spans="1:3">
      <c r="A286" s="4">
        <v>44166</v>
      </c>
      <c r="B286" s="5" t="s">
        <v>16</v>
      </c>
      <c r="C286" s="5">
        <v>27819683</v>
      </c>
    </row>
    <row r="287" spans="1:3">
      <c r="A287" s="4">
        <v>44166</v>
      </c>
      <c r="B287" s="5" t="s">
        <v>17</v>
      </c>
      <c r="C287" s="5">
        <v>48088273</v>
      </c>
    </row>
    <row r="288" spans="1:3">
      <c r="A288" s="4">
        <v>44166</v>
      </c>
      <c r="B288" s="5" t="s">
        <v>18</v>
      </c>
      <c r="C288" s="5">
        <v>61225261</v>
      </c>
    </row>
    <row r="289" spans="1:3">
      <c r="A289" s="4">
        <v>44166</v>
      </c>
      <c r="B289" s="5" t="s">
        <v>19</v>
      </c>
      <c r="C289" s="5">
        <v>53421742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1"/>
  <sheetViews>
    <sheetView zoomScaleNormal="100" workbookViewId="0"/>
  </sheetViews>
  <sheetFormatPr defaultColWidth="8.7109375" defaultRowHeight="15"/>
  <cols>
    <col min="1" max="1" width="21" customWidth="1"/>
    <col min="2" max="4" width="19" customWidth="1"/>
    <col min="5" max="5" width="18" customWidth="1"/>
  </cols>
  <sheetData>
    <row r="1" spans="1:5">
      <c r="A1" s="3" t="s">
        <v>20</v>
      </c>
      <c r="B1" s="3" t="s">
        <v>21</v>
      </c>
      <c r="C1" s="3" t="s">
        <v>22</v>
      </c>
      <c r="D1" s="3" t="s">
        <v>23</v>
      </c>
      <c r="E1" s="3" t="s">
        <v>12</v>
      </c>
    </row>
    <row r="2" spans="1:5">
      <c r="A2" s="4">
        <v>42736</v>
      </c>
      <c r="B2" s="5">
        <v>30958135.2783577</v>
      </c>
      <c r="C2" s="5">
        <v>12052405.506209601</v>
      </c>
      <c r="D2" s="5">
        <v>48131181.405626804</v>
      </c>
      <c r="E2" s="5" t="s">
        <v>14</v>
      </c>
    </row>
    <row r="3" spans="1:5">
      <c r="A3" s="4">
        <v>42767</v>
      </c>
      <c r="B3" s="5">
        <v>34436328.811143503</v>
      </c>
      <c r="C3" s="5">
        <v>17242957.091019399</v>
      </c>
      <c r="D3" s="5">
        <v>51981239.3745884</v>
      </c>
      <c r="E3" s="5" t="s">
        <v>14</v>
      </c>
    </row>
    <row r="4" spans="1:5">
      <c r="A4" s="4">
        <v>42795</v>
      </c>
      <c r="B4" s="5">
        <v>42488119.760558002</v>
      </c>
      <c r="C4" s="5">
        <v>23979877.720581699</v>
      </c>
      <c r="D4" s="5">
        <v>60578484.227516703</v>
      </c>
      <c r="E4" s="5" t="s">
        <v>14</v>
      </c>
    </row>
    <row r="5" spans="1:5">
      <c r="A5" s="4">
        <v>42826</v>
      </c>
      <c r="B5" s="5">
        <v>37387470.2550947</v>
      </c>
      <c r="C5" s="5">
        <v>19801612.021184999</v>
      </c>
      <c r="D5" s="5">
        <v>53148578.603185803</v>
      </c>
      <c r="E5" s="5" t="s">
        <v>14</v>
      </c>
    </row>
    <row r="6" spans="1:5">
      <c r="A6" s="4">
        <v>42856</v>
      </c>
      <c r="B6" s="5">
        <v>41118217.5360239</v>
      </c>
      <c r="C6" s="5">
        <v>23249928.312744699</v>
      </c>
      <c r="D6" s="5">
        <v>58770656.565273203</v>
      </c>
      <c r="E6" s="5" t="s">
        <v>14</v>
      </c>
    </row>
    <row r="7" spans="1:5">
      <c r="A7" s="4">
        <v>42887</v>
      </c>
      <c r="B7" s="5">
        <v>69989071.395715907</v>
      </c>
      <c r="C7" s="5">
        <v>52370863.462233901</v>
      </c>
      <c r="D7" s="5">
        <v>88022066.793031603</v>
      </c>
      <c r="E7" s="5" t="s">
        <v>14</v>
      </c>
    </row>
    <row r="8" spans="1:5">
      <c r="A8" s="4">
        <v>42917</v>
      </c>
      <c r="B8" s="5">
        <v>51563173.2782906</v>
      </c>
      <c r="C8" s="5">
        <v>33867454.493482202</v>
      </c>
      <c r="D8" s="5">
        <v>69013086.191746205</v>
      </c>
      <c r="E8" s="5" t="s">
        <v>14</v>
      </c>
    </row>
    <row r="9" spans="1:5">
      <c r="A9" s="4">
        <v>42948</v>
      </c>
      <c r="B9" s="5">
        <v>58996916.902816899</v>
      </c>
      <c r="C9" s="5">
        <v>42756682.470035203</v>
      </c>
      <c r="D9" s="5">
        <v>76789583.885753095</v>
      </c>
      <c r="E9" s="5" t="s">
        <v>14</v>
      </c>
    </row>
    <row r="10" spans="1:5">
      <c r="A10" s="4">
        <v>42979</v>
      </c>
      <c r="B10" s="5">
        <v>48553933.061523497</v>
      </c>
      <c r="C10" s="5">
        <v>31874656.986258101</v>
      </c>
      <c r="D10" s="5">
        <v>66823876.2496989</v>
      </c>
      <c r="E10" s="5" t="s">
        <v>14</v>
      </c>
    </row>
    <row r="11" spans="1:5">
      <c r="A11" s="4">
        <v>43009</v>
      </c>
      <c r="B11" s="5">
        <v>45064906.886776902</v>
      </c>
      <c r="C11" s="5">
        <v>28570341.4927953</v>
      </c>
      <c r="D11" s="5">
        <v>63382695.082672998</v>
      </c>
      <c r="E11" s="5" t="s">
        <v>14</v>
      </c>
    </row>
    <row r="12" spans="1:5">
      <c r="A12" s="4">
        <v>43040</v>
      </c>
      <c r="B12" s="5">
        <v>50395854.486064702</v>
      </c>
      <c r="C12" s="5">
        <v>33867749.8835961</v>
      </c>
      <c r="D12" s="5">
        <v>69300790.750539005</v>
      </c>
      <c r="E12" s="5" t="s">
        <v>14</v>
      </c>
    </row>
    <row r="13" spans="1:5">
      <c r="A13" s="4">
        <v>43070</v>
      </c>
      <c r="B13" s="5">
        <v>60371538.959228903</v>
      </c>
      <c r="C13" s="5">
        <v>43290399.0838909</v>
      </c>
      <c r="D13" s="5">
        <v>77578639.627647996</v>
      </c>
      <c r="E13" s="5" t="s">
        <v>14</v>
      </c>
    </row>
    <row r="14" spans="1:5">
      <c r="A14" s="4">
        <v>43101</v>
      </c>
      <c r="B14" s="5">
        <v>31070754.653391998</v>
      </c>
      <c r="C14" s="5">
        <v>13279402.966047499</v>
      </c>
      <c r="D14" s="5">
        <v>47641986.580118001</v>
      </c>
      <c r="E14" s="5" t="s">
        <v>14</v>
      </c>
    </row>
    <row r="15" spans="1:5">
      <c r="A15" s="4">
        <v>43132</v>
      </c>
      <c r="B15" s="5">
        <v>36502735.900425598</v>
      </c>
      <c r="C15" s="5">
        <v>18778976.653210301</v>
      </c>
      <c r="D15" s="5">
        <v>53660315.331039801</v>
      </c>
      <c r="E15" s="5" t="s">
        <v>14</v>
      </c>
    </row>
    <row r="16" spans="1:5">
      <c r="A16" s="4">
        <v>43160</v>
      </c>
      <c r="B16" s="5">
        <v>46424897.573693</v>
      </c>
      <c r="C16" s="5">
        <v>27961992.104685199</v>
      </c>
      <c r="D16" s="5">
        <v>64945779.529776603</v>
      </c>
      <c r="E16" s="5" t="s">
        <v>14</v>
      </c>
    </row>
    <row r="17" spans="1:5">
      <c r="A17" s="4">
        <v>43191</v>
      </c>
      <c r="B17" s="5">
        <v>48110464.628907599</v>
      </c>
      <c r="C17" s="5">
        <v>30665278.213231001</v>
      </c>
      <c r="D17" s="5">
        <v>65783232.119802997</v>
      </c>
      <c r="E17" s="5" t="s">
        <v>14</v>
      </c>
    </row>
    <row r="18" spans="1:5">
      <c r="A18" s="4">
        <v>43221</v>
      </c>
      <c r="B18" s="5">
        <v>31032509.290791601</v>
      </c>
      <c r="C18" s="5">
        <v>14497451.819217199</v>
      </c>
      <c r="D18" s="5">
        <v>48905824.15839</v>
      </c>
      <c r="E18" s="5" t="s">
        <v>14</v>
      </c>
    </row>
    <row r="19" spans="1:5">
      <c r="A19" s="4">
        <v>43252</v>
      </c>
      <c r="B19" s="5">
        <v>57353402.625827998</v>
      </c>
      <c r="C19" s="5">
        <v>39733562.476152599</v>
      </c>
      <c r="D19" s="5">
        <v>74336787.297034204</v>
      </c>
      <c r="E19" s="5" t="s">
        <v>14</v>
      </c>
    </row>
    <row r="20" spans="1:5">
      <c r="A20" s="4">
        <v>43282</v>
      </c>
      <c r="B20" s="5">
        <v>38125734.853080101</v>
      </c>
      <c r="C20" s="5">
        <v>20795070.379476301</v>
      </c>
      <c r="D20" s="5">
        <v>54352511.728443399</v>
      </c>
      <c r="E20" s="5" t="s">
        <v>14</v>
      </c>
    </row>
    <row r="21" spans="1:5">
      <c r="A21" s="4">
        <v>43313</v>
      </c>
      <c r="B21" s="5">
        <v>89918572.420532301</v>
      </c>
      <c r="C21" s="5">
        <v>72889429.2257801</v>
      </c>
      <c r="D21" s="5">
        <v>105973951.19999599</v>
      </c>
      <c r="E21" s="5" t="s">
        <v>14</v>
      </c>
    </row>
    <row r="22" spans="1:5">
      <c r="A22" s="4">
        <v>43344</v>
      </c>
      <c r="B22" s="5">
        <v>41940547.0115446</v>
      </c>
      <c r="C22" s="5">
        <v>24134589.273877598</v>
      </c>
      <c r="D22" s="5">
        <v>59603414.180334903</v>
      </c>
      <c r="E22" s="5" t="s">
        <v>14</v>
      </c>
    </row>
    <row r="23" spans="1:5">
      <c r="A23" s="4">
        <v>43374</v>
      </c>
      <c r="B23" s="5">
        <v>47727154.639523998</v>
      </c>
      <c r="C23" s="5">
        <v>30765636.102656499</v>
      </c>
      <c r="D23" s="5">
        <v>65403284.472567998</v>
      </c>
      <c r="E23" s="5" t="s">
        <v>14</v>
      </c>
    </row>
    <row r="24" spans="1:5">
      <c r="A24" s="4">
        <v>43405</v>
      </c>
      <c r="B24" s="5">
        <v>46031779.075720102</v>
      </c>
      <c r="C24" s="5">
        <v>28441941.238585699</v>
      </c>
      <c r="D24" s="5">
        <v>61657642.386420697</v>
      </c>
      <c r="E24" s="5" t="s">
        <v>14</v>
      </c>
    </row>
    <row r="25" spans="1:5">
      <c r="A25" s="4">
        <v>43435</v>
      </c>
      <c r="B25" s="5">
        <v>48894047.626792997</v>
      </c>
      <c r="C25" s="5">
        <v>32097119.052502599</v>
      </c>
      <c r="D25" s="5">
        <v>67714734.1303031</v>
      </c>
      <c r="E25" s="5" t="s">
        <v>14</v>
      </c>
    </row>
    <row r="26" spans="1:5">
      <c r="A26" s="4">
        <v>43466</v>
      </c>
      <c r="B26" s="5">
        <v>31440642.6769467</v>
      </c>
      <c r="C26" s="5">
        <v>14830036.0117999</v>
      </c>
      <c r="D26" s="5">
        <v>48485062.845324799</v>
      </c>
      <c r="E26" s="5" t="s">
        <v>14</v>
      </c>
    </row>
    <row r="27" spans="1:5">
      <c r="A27" s="4">
        <v>43497</v>
      </c>
      <c r="B27" s="5">
        <v>38667911.320472203</v>
      </c>
      <c r="C27" s="5">
        <v>20862018.6120525</v>
      </c>
      <c r="D27" s="5">
        <v>54229198.332676098</v>
      </c>
      <c r="E27" s="5" t="s">
        <v>14</v>
      </c>
    </row>
    <row r="28" spans="1:5">
      <c r="A28" s="4">
        <v>43525</v>
      </c>
      <c r="B28" s="5">
        <v>50263376.368986502</v>
      </c>
      <c r="C28" s="5">
        <v>32996554.770535901</v>
      </c>
      <c r="D28" s="5">
        <v>67368950.377986297</v>
      </c>
      <c r="E28" s="5" t="s">
        <v>14</v>
      </c>
    </row>
    <row r="29" spans="1:5">
      <c r="A29" s="4">
        <v>43556</v>
      </c>
      <c r="B29" s="5">
        <v>58234644.759950802</v>
      </c>
      <c r="C29" s="5">
        <v>42412700.209708698</v>
      </c>
      <c r="D29" s="5">
        <v>75775177.065579295</v>
      </c>
      <c r="E29" s="5" t="s">
        <v>14</v>
      </c>
    </row>
    <row r="30" spans="1:5">
      <c r="A30" s="4">
        <v>43586</v>
      </c>
      <c r="B30" s="5">
        <v>20852506.2027664</v>
      </c>
      <c r="C30" s="5">
        <v>4117924.7561814399</v>
      </c>
      <c r="D30" s="5">
        <v>38453090.076491497</v>
      </c>
      <c r="E30" s="5" t="s">
        <v>14</v>
      </c>
    </row>
    <row r="31" spans="1:5">
      <c r="A31" s="4">
        <v>43617</v>
      </c>
      <c r="B31" s="5">
        <v>45056640.097143397</v>
      </c>
      <c r="C31" s="5">
        <v>27550631.802978601</v>
      </c>
      <c r="D31" s="5">
        <v>63330281.658339903</v>
      </c>
      <c r="E31" s="5" t="s">
        <v>14</v>
      </c>
    </row>
    <row r="32" spans="1:5">
      <c r="A32" s="4">
        <v>43647</v>
      </c>
      <c r="B32" s="5">
        <v>25686192.469162799</v>
      </c>
      <c r="C32" s="5">
        <v>8058660.3580714297</v>
      </c>
      <c r="D32" s="5">
        <v>42585587.8429396</v>
      </c>
      <c r="E32" s="5" t="s">
        <v>14</v>
      </c>
    </row>
    <row r="33" spans="1:5">
      <c r="A33" s="4">
        <v>43678</v>
      </c>
      <c r="B33" s="5">
        <v>120125909.70248</v>
      </c>
      <c r="C33" s="5">
        <v>102043487.733293</v>
      </c>
      <c r="D33" s="5">
        <v>136347080.76084599</v>
      </c>
      <c r="E33" s="5" t="s">
        <v>14</v>
      </c>
    </row>
    <row r="34" spans="1:5">
      <c r="A34" s="4">
        <v>43709</v>
      </c>
      <c r="B34" s="5">
        <v>35146275.345417999</v>
      </c>
      <c r="C34" s="5">
        <v>17339858.892984599</v>
      </c>
      <c r="D34" s="5">
        <v>51738742.478300497</v>
      </c>
      <c r="E34" s="5" t="s">
        <v>14</v>
      </c>
    </row>
    <row r="35" spans="1:5">
      <c r="A35" s="4">
        <v>43739</v>
      </c>
      <c r="B35" s="5">
        <v>50138566.248371199</v>
      </c>
      <c r="C35" s="5">
        <v>32719349.021089301</v>
      </c>
      <c r="D35" s="5">
        <v>67703658.517698303</v>
      </c>
      <c r="E35" s="5" t="s">
        <v>14</v>
      </c>
    </row>
    <row r="36" spans="1:5">
      <c r="A36" s="4">
        <v>43770</v>
      </c>
      <c r="B36" s="5">
        <v>41545971.456821598</v>
      </c>
      <c r="C36" s="5">
        <v>24240442.951662999</v>
      </c>
      <c r="D36" s="5">
        <v>59072466.727400698</v>
      </c>
      <c r="E36" s="5" t="s">
        <v>14</v>
      </c>
    </row>
    <row r="37" spans="1:5">
      <c r="A37" s="4">
        <v>43800</v>
      </c>
      <c r="B37" s="5">
        <v>37795602.603891298</v>
      </c>
      <c r="C37" s="5">
        <v>18810197.700455301</v>
      </c>
      <c r="D37" s="5">
        <v>54856364.947643302</v>
      </c>
      <c r="E37" s="5" t="s">
        <v>14</v>
      </c>
    </row>
    <row r="38" spans="1:5">
      <c r="A38" s="4">
        <v>43831</v>
      </c>
      <c r="B38" s="5">
        <v>32051225.894621</v>
      </c>
      <c r="C38" s="5">
        <v>14158882.792594699</v>
      </c>
      <c r="D38" s="5">
        <v>49981809.577366799</v>
      </c>
      <c r="E38" s="5" t="s">
        <v>14</v>
      </c>
    </row>
    <row r="39" spans="1:5">
      <c r="A39" s="4">
        <v>43862</v>
      </c>
      <c r="B39" s="5">
        <v>40909736.331387699</v>
      </c>
      <c r="C39" s="5">
        <v>23343778.323074199</v>
      </c>
      <c r="D39" s="5">
        <v>58113547.434872903</v>
      </c>
      <c r="E39" s="5" t="s">
        <v>14</v>
      </c>
    </row>
    <row r="40" spans="1:5">
      <c r="A40" s="4">
        <v>43891</v>
      </c>
      <c r="B40" s="5">
        <v>36409387.497866198</v>
      </c>
      <c r="C40" s="5">
        <v>18676203.6915484</v>
      </c>
      <c r="D40" s="5">
        <v>54196943.132355101</v>
      </c>
      <c r="E40" s="5" t="s">
        <v>14</v>
      </c>
    </row>
    <row r="41" spans="1:5">
      <c r="A41" s="4">
        <v>43922</v>
      </c>
      <c r="B41" s="5">
        <v>24670944.3458516</v>
      </c>
      <c r="C41" s="5">
        <v>7977953.1446636701</v>
      </c>
      <c r="D41" s="5">
        <v>42333443.978278197</v>
      </c>
      <c r="E41" s="5" t="s">
        <v>14</v>
      </c>
    </row>
    <row r="42" spans="1:5">
      <c r="A42" s="4">
        <v>43952</v>
      </c>
      <c r="B42" s="5">
        <v>48342891.606802098</v>
      </c>
      <c r="C42" s="5">
        <v>30884886.675645798</v>
      </c>
      <c r="D42" s="5">
        <v>64635882.974905401</v>
      </c>
      <c r="E42" s="5" t="s">
        <v>14</v>
      </c>
    </row>
    <row r="43" spans="1:5">
      <c r="A43" s="4">
        <v>43983</v>
      </c>
      <c r="B43" s="5">
        <v>78488712.123966098</v>
      </c>
      <c r="C43" s="5">
        <v>61134967.952438101</v>
      </c>
      <c r="D43" s="5">
        <v>96887287.750982702</v>
      </c>
      <c r="E43" s="5" t="s">
        <v>14</v>
      </c>
    </row>
    <row r="44" spans="1:5">
      <c r="A44" s="4">
        <v>44013</v>
      </c>
      <c r="B44" s="5">
        <v>62464306.580496997</v>
      </c>
      <c r="C44" s="5">
        <v>44191453.522376902</v>
      </c>
      <c r="D44" s="5">
        <v>79526337.560870305</v>
      </c>
      <c r="E44" s="5" t="s">
        <v>14</v>
      </c>
    </row>
    <row r="45" spans="1:5">
      <c r="A45" s="4">
        <v>44044</v>
      </c>
      <c r="B45" s="5">
        <v>25928993.109329499</v>
      </c>
      <c r="C45" s="5">
        <v>9280583.2820733096</v>
      </c>
      <c r="D45" s="5">
        <v>42546720.757297903</v>
      </c>
      <c r="E45" s="5" t="s">
        <v>14</v>
      </c>
    </row>
    <row r="46" spans="1:5">
      <c r="A46" s="4">
        <v>44075</v>
      </c>
      <c r="B46" s="5">
        <v>52009474.392298497</v>
      </c>
      <c r="C46" s="5">
        <v>35436667.339040399</v>
      </c>
      <c r="D46" s="5">
        <v>69302607.728650793</v>
      </c>
      <c r="E46" s="5" t="s">
        <v>14</v>
      </c>
    </row>
    <row r="47" spans="1:5">
      <c r="A47" s="4">
        <v>44105</v>
      </c>
      <c r="B47" s="5">
        <v>39872038.448541</v>
      </c>
      <c r="C47" s="5">
        <v>21227001.872088902</v>
      </c>
      <c r="D47" s="5">
        <v>55968357.770542197</v>
      </c>
      <c r="E47" s="5" t="s">
        <v>14</v>
      </c>
    </row>
    <row r="48" spans="1:5">
      <c r="A48" s="4">
        <v>44136</v>
      </c>
      <c r="B48" s="5">
        <v>51667414.628429301</v>
      </c>
      <c r="C48" s="5">
        <v>34119234.423946902</v>
      </c>
      <c r="D48" s="5">
        <v>69164155.888613507</v>
      </c>
      <c r="E48" s="5" t="s">
        <v>14</v>
      </c>
    </row>
    <row r="49" spans="1:5">
      <c r="A49" s="4">
        <v>44166</v>
      </c>
      <c r="B49" s="5">
        <v>68303107.018978</v>
      </c>
      <c r="C49" s="5">
        <v>50387758.616815999</v>
      </c>
      <c r="D49" s="5">
        <v>85919879.597974107</v>
      </c>
      <c r="E49" s="5" t="s">
        <v>14</v>
      </c>
    </row>
    <row r="50" spans="1:5">
      <c r="A50" s="4">
        <v>44197</v>
      </c>
      <c r="B50" s="5">
        <v>29274319.003948599</v>
      </c>
      <c r="C50" s="5">
        <v>11546982.709818499</v>
      </c>
      <c r="D50" s="5">
        <v>46816337.841016203</v>
      </c>
      <c r="E50" s="5" t="s">
        <v>14</v>
      </c>
    </row>
    <row r="51" spans="1:5">
      <c r="A51" s="4">
        <v>44228</v>
      </c>
      <c r="B51" s="5">
        <v>32559944.9855204</v>
      </c>
      <c r="C51" s="5">
        <v>14882422.4886031</v>
      </c>
      <c r="D51" s="5">
        <v>49573905.665673196</v>
      </c>
      <c r="E51" s="5" t="s">
        <v>14</v>
      </c>
    </row>
    <row r="52" spans="1:5">
      <c r="A52" s="4">
        <v>44256</v>
      </c>
      <c r="B52" s="5">
        <v>40169221.813600898</v>
      </c>
      <c r="C52" s="5">
        <v>22482780.693705101</v>
      </c>
      <c r="D52" s="5">
        <v>56717322.342365503</v>
      </c>
      <c r="E52" s="5" t="s">
        <v>14</v>
      </c>
    </row>
    <row r="53" spans="1:5">
      <c r="A53" s="4">
        <v>44287</v>
      </c>
      <c r="B53" s="5">
        <v>35343258.671543904</v>
      </c>
      <c r="C53" s="5">
        <v>16901387.2284339</v>
      </c>
      <c r="D53" s="5">
        <v>52359726.6861526</v>
      </c>
      <c r="E53" s="5" t="s">
        <v>14</v>
      </c>
    </row>
    <row r="54" spans="1:5">
      <c r="A54" s="4">
        <v>44317</v>
      </c>
      <c r="B54" s="5">
        <v>38866081.084996298</v>
      </c>
      <c r="C54" s="5">
        <v>21466263.653338701</v>
      </c>
      <c r="D54" s="5">
        <v>57221107.911659099</v>
      </c>
      <c r="E54" s="5" t="s">
        <v>14</v>
      </c>
    </row>
    <row r="55" spans="1:5">
      <c r="A55" s="4">
        <v>44348</v>
      </c>
      <c r="B55" s="5">
        <v>66148666.353378303</v>
      </c>
      <c r="C55" s="5">
        <v>49045872.681574799</v>
      </c>
      <c r="D55" s="5">
        <v>83288501.491016105</v>
      </c>
      <c r="E55" s="5" t="s">
        <v>14</v>
      </c>
    </row>
    <row r="56" spans="1:5">
      <c r="A56" s="4">
        <v>44378</v>
      </c>
      <c r="B56" s="5">
        <v>48728860.265736103</v>
      </c>
      <c r="C56" s="5">
        <v>30786099.767273001</v>
      </c>
      <c r="D56" s="5">
        <v>66716493.942670196</v>
      </c>
      <c r="E56" s="5" t="s">
        <v>14</v>
      </c>
    </row>
    <row r="57" spans="1:5">
      <c r="A57" s="4">
        <v>44409</v>
      </c>
      <c r="B57" s="5">
        <v>55748104.617175303</v>
      </c>
      <c r="C57" s="5">
        <v>39008515.409030199</v>
      </c>
      <c r="D57" s="5">
        <v>73389727.653300807</v>
      </c>
      <c r="E57" s="5" t="s">
        <v>14</v>
      </c>
    </row>
    <row r="58" spans="1:5">
      <c r="A58" s="4">
        <v>44440</v>
      </c>
      <c r="B58" s="5">
        <v>45875336.997997299</v>
      </c>
      <c r="C58" s="5">
        <v>28510232.054420799</v>
      </c>
      <c r="D58" s="5">
        <v>64718602.411442399</v>
      </c>
      <c r="E58" s="5" t="s">
        <v>14</v>
      </c>
    </row>
    <row r="59" spans="1:5">
      <c r="A59" s="4">
        <v>44470</v>
      </c>
      <c r="B59" s="5">
        <v>42574422.862768501</v>
      </c>
      <c r="C59" s="5">
        <v>24467539.2211316</v>
      </c>
      <c r="D59" s="5">
        <v>60573908.672626004</v>
      </c>
      <c r="E59" s="5" t="s">
        <v>14</v>
      </c>
    </row>
    <row r="60" spans="1:5">
      <c r="A60" s="4">
        <v>44501</v>
      </c>
      <c r="B60" s="5">
        <v>47605699.290665902</v>
      </c>
      <c r="C60" s="5">
        <v>31439138.357207999</v>
      </c>
      <c r="D60" s="5">
        <v>64664386.328893699</v>
      </c>
      <c r="E60" s="5" t="s">
        <v>14</v>
      </c>
    </row>
    <row r="61" spans="1:5">
      <c r="A61" s="4">
        <v>44531</v>
      </c>
      <c r="B61" s="5">
        <v>57023203.1896106</v>
      </c>
      <c r="C61" s="5">
        <v>40024446.338008597</v>
      </c>
      <c r="D61" s="5">
        <v>74471678.331778094</v>
      </c>
      <c r="E61" s="5" t="s">
        <v>14</v>
      </c>
    </row>
    <row r="62" spans="1:5">
      <c r="A62" s="4">
        <v>42736</v>
      </c>
      <c r="B62" s="5">
        <v>25772164.192083899</v>
      </c>
      <c r="C62" s="5">
        <v>15134480.1626653</v>
      </c>
      <c r="D62" s="5">
        <v>35916755.258156799</v>
      </c>
      <c r="E62" s="5" t="s">
        <v>15</v>
      </c>
    </row>
    <row r="63" spans="1:5">
      <c r="A63" s="4">
        <v>42767</v>
      </c>
      <c r="B63" s="5">
        <v>35924332.717623003</v>
      </c>
      <c r="C63" s="5">
        <v>25396653.221093901</v>
      </c>
      <c r="D63" s="5">
        <v>45946848.9455259</v>
      </c>
      <c r="E63" s="5" t="s">
        <v>15</v>
      </c>
    </row>
    <row r="64" spans="1:5">
      <c r="A64" s="4">
        <v>42795</v>
      </c>
      <c r="B64" s="5">
        <v>39196337.1642683</v>
      </c>
      <c r="C64" s="5">
        <v>28330548.192935999</v>
      </c>
      <c r="D64" s="5">
        <v>49759775.379217297</v>
      </c>
      <c r="E64" s="5" t="s">
        <v>15</v>
      </c>
    </row>
    <row r="65" spans="1:5">
      <c r="A65" s="4">
        <v>42826</v>
      </c>
      <c r="B65" s="5">
        <v>31881417.206897199</v>
      </c>
      <c r="C65" s="5">
        <v>21630198.067664798</v>
      </c>
      <c r="D65" s="5">
        <v>42390097.853260703</v>
      </c>
      <c r="E65" s="5" t="s">
        <v>15</v>
      </c>
    </row>
    <row r="66" spans="1:5">
      <c r="A66" s="4">
        <v>42856</v>
      </c>
      <c r="B66" s="5">
        <v>32545424.214676701</v>
      </c>
      <c r="C66" s="5">
        <v>22462907.482985198</v>
      </c>
      <c r="D66" s="5">
        <v>43026854.5619675</v>
      </c>
      <c r="E66" s="5" t="s">
        <v>15</v>
      </c>
    </row>
    <row r="67" spans="1:5">
      <c r="A67" s="4">
        <v>42887</v>
      </c>
      <c r="B67" s="5">
        <v>33799170.180993401</v>
      </c>
      <c r="C67" s="5">
        <v>23920896.574607398</v>
      </c>
      <c r="D67" s="5">
        <v>44451150.139551803</v>
      </c>
      <c r="E67" s="5" t="s">
        <v>15</v>
      </c>
    </row>
    <row r="68" spans="1:5">
      <c r="A68" s="4">
        <v>42917</v>
      </c>
      <c r="B68" s="5">
        <v>32815332.535023902</v>
      </c>
      <c r="C68" s="5">
        <v>22181517.954003401</v>
      </c>
      <c r="D68" s="5">
        <v>43254228.707132503</v>
      </c>
      <c r="E68" s="5" t="s">
        <v>15</v>
      </c>
    </row>
    <row r="69" spans="1:5">
      <c r="A69" s="4">
        <v>42948</v>
      </c>
      <c r="B69" s="5">
        <v>34115505.288870998</v>
      </c>
      <c r="C69" s="5">
        <v>23042853.674534399</v>
      </c>
      <c r="D69" s="5">
        <v>45299366.608383</v>
      </c>
      <c r="E69" s="5" t="s">
        <v>15</v>
      </c>
    </row>
    <row r="70" spans="1:5">
      <c r="A70" s="4">
        <v>42979</v>
      </c>
      <c r="B70" s="5">
        <v>34495721.262092397</v>
      </c>
      <c r="C70" s="5">
        <v>23901997.475980502</v>
      </c>
      <c r="D70" s="5">
        <v>45048979.575757802</v>
      </c>
      <c r="E70" s="5" t="s">
        <v>15</v>
      </c>
    </row>
    <row r="71" spans="1:5">
      <c r="A71" s="4">
        <v>43009</v>
      </c>
      <c r="B71" s="5">
        <v>28614711.427221999</v>
      </c>
      <c r="C71" s="5">
        <v>18574071.510340199</v>
      </c>
      <c r="D71" s="5">
        <v>38663283.368133299</v>
      </c>
      <c r="E71" s="5" t="s">
        <v>15</v>
      </c>
    </row>
    <row r="72" spans="1:5">
      <c r="A72" s="4">
        <v>43040</v>
      </c>
      <c r="B72" s="5">
        <v>35992129.120183103</v>
      </c>
      <c r="C72" s="5">
        <v>25449528.517851699</v>
      </c>
      <c r="D72" s="5">
        <v>46358112.349069603</v>
      </c>
      <c r="E72" s="5" t="s">
        <v>15</v>
      </c>
    </row>
    <row r="73" spans="1:5">
      <c r="A73" s="4">
        <v>43070</v>
      </c>
      <c r="B73" s="5">
        <v>34214962.470066801</v>
      </c>
      <c r="C73" s="5">
        <v>23886262.622799199</v>
      </c>
      <c r="D73" s="5">
        <v>44794739.108073004</v>
      </c>
      <c r="E73" s="5" t="s">
        <v>15</v>
      </c>
    </row>
    <row r="74" spans="1:5">
      <c r="A74" s="4">
        <v>43101</v>
      </c>
      <c r="B74" s="5">
        <v>24276731.9066597</v>
      </c>
      <c r="C74" s="5">
        <v>13643572.7124223</v>
      </c>
      <c r="D74" s="5">
        <v>34821761.267442703</v>
      </c>
      <c r="E74" s="5" t="s">
        <v>15</v>
      </c>
    </row>
    <row r="75" spans="1:5">
      <c r="A75" s="4">
        <v>43132</v>
      </c>
      <c r="B75" s="5">
        <v>36152619.903562099</v>
      </c>
      <c r="C75" s="5">
        <v>25574699.096512899</v>
      </c>
      <c r="D75" s="5">
        <v>47104227.086751401</v>
      </c>
      <c r="E75" s="5" t="s">
        <v>15</v>
      </c>
    </row>
    <row r="76" spans="1:5">
      <c r="A76" s="4">
        <v>43160</v>
      </c>
      <c r="B76" s="5">
        <v>48856944.618486099</v>
      </c>
      <c r="C76" s="5">
        <v>38491121.746802397</v>
      </c>
      <c r="D76" s="5">
        <v>60192067.750840202</v>
      </c>
      <c r="E76" s="5" t="s">
        <v>15</v>
      </c>
    </row>
    <row r="77" spans="1:5">
      <c r="A77" s="4">
        <v>43191</v>
      </c>
      <c r="B77" s="5">
        <v>31132692.3926281</v>
      </c>
      <c r="C77" s="5">
        <v>20440691.1149556</v>
      </c>
      <c r="D77" s="5">
        <v>41699814.733709902</v>
      </c>
      <c r="E77" s="5" t="s">
        <v>15</v>
      </c>
    </row>
    <row r="78" spans="1:5">
      <c r="A78" s="4">
        <v>43221</v>
      </c>
      <c r="B78" s="5">
        <v>30066350.773023602</v>
      </c>
      <c r="C78" s="5">
        <v>19784243.736805901</v>
      </c>
      <c r="D78" s="5">
        <v>41557900.945479602</v>
      </c>
      <c r="E78" s="5" t="s">
        <v>15</v>
      </c>
    </row>
    <row r="79" spans="1:5">
      <c r="A79" s="4">
        <v>43252</v>
      </c>
      <c r="B79" s="5">
        <v>30281496.9129287</v>
      </c>
      <c r="C79" s="5">
        <v>19334227.137518499</v>
      </c>
      <c r="D79" s="5">
        <v>40917836.2861083</v>
      </c>
      <c r="E79" s="5" t="s">
        <v>15</v>
      </c>
    </row>
    <row r="80" spans="1:5">
      <c r="A80" s="4">
        <v>43282</v>
      </c>
      <c r="B80" s="5">
        <v>32043089.2668043</v>
      </c>
      <c r="C80" s="5">
        <v>21320856.861133002</v>
      </c>
      <c r="D80" s="5">
        <v>42686433.866179802</v>
      </c>
      <c r="E80" s="5" t="s">
        <v>15</v>
      </c>
    </row>
    <row r="81" spans="1:5">
      <c r="A81" s="4">
        <v>43313</v>
      </c>
      <c r="B81" s="5">
        <v>44479550.3492525</v>
      </c>
      <c r="C81" s="5">
        <v>33510888.107966401</v>
      </c>
      <c r="D81" s="5">
        <v>55337422.267906502</v>
      </c>
      <c r="E81" s="5" t="s">
        <v>15</v>
      </c>
    </row>
    <row r="82" spans="1:5">
      <c r="A82" s="4">
        <v>43344</v>
      </c>
      <c r="B82" s="5">
        <v>33911524.388892204</v>
      </c>
      <c r="C82" s="5">
        <v>23719755.577251598</v>
      </c>
      <c r="D82" s="5">
        <v>44637883.279119097</v>
      </c>
      <c r="E82" s="5" t="s">
        <v>15</v>
      </c>
    </row>
    <row r="83" spans="1:5">
      <c r="A83" s="4">
        <v>43374</v>
      </c>
      <c r="B83" s="5">
        <v>30869388.058697</v>
      </c>
      <c r="C83" s="5">
        <v>20321104.577542402</v>
      </c>
      <c r="D83" s="5">
        <v>41274388.237876199</v>
      </c>
      <c r="E83" s="5" t="s">
        <v>15</v>
      </c>
    </row>
    <row r="84" spans="1:5">
      <c r="A84" s="4">
        <v>43405</v>
      </c>
      <c r="B84" s="5">
        <v>34900507.707212098</v>
      </c>
      <c r="C84" s="5">
        <v>23646026.456452001</v>
      </c>
      <c r="D84" s="5">
        <v>45471810.434717998</v>
      </c>
      <c r="E84" s="5" t="s">
        <v>15</v>
      </c>
    </row>
    <row r="85" spans="1:5">
      <c r="A85" s="4">
        <v>43435</v>
      </c>
      <c r="B85" s="5">
        <v>32785426.7359774</v>
      </c>
      <c r="C85" s="5">
        <v>21647856.204038698</v>
      </c>
      <c r="D85" s="5">
        <v>43202025.918309301</v>
      </c>
      <c r="E85" s="5" t="s">
        <v>15</v>
      </c>
    </row>
    <row r="86" spans="1:5">
      <c r="A86" s="4">
        <v>43466</v>
      </c>
      <c r="B86" s="5">
        <v>22742680.545581602</v>
      </c>
      <c r="C86" s="5">
        <v>12725286.4725943</v>
      </c>
      <c r="D86" s="5">
        <v>33389440.7873578</v>
      </c>
      <c r="E86" s="5" t="s">
        <v>15</v>
      </c>
    </row>
    <row r="87" spans="1:5">
      <c r="A87" s="4">
        <v>43497</v>
      </c>
      <c r="B87" s="5">
        <v>36500473.813020498</v>
      </c>
      <c r="C87" s="5">
        <v>25578044.2119391</v>
      </c>
      <c r="D87" s="5">
        <v>46986742.5619957</v>
      </c>
      <c r="E87" s="5" t="s">
        <v>15</v>
      </c>
    </row>
    <row r="88" spans="1:5">
      <c r="A88" s="4">
        <v>43525</v>
      </c>
      <c r="B88" s="5">
        <v>58926723.866477802</v>
      </c>
      <c r="C88" s="5">
        <v>48022528.405231103</v>
      </c>
      <c r="D88" s="5">
        <v>69661388.089386001</v>
      </c>
      <c r="E88" s="5" t="s">
        <v>15</v>
      </c>
    </row>
    <row r="89" spans="1:5">
      <c r="A89" s="4">
        <v>43556</v>
      </c>
      <c r="B89" s="5">
        <v>30086521.1837296</v>
      </c>
      <c r="C89" s="5">
        <v>19346628.095061999</v>
      </c>
      <c r="D89" s="5">
        <v>40331335.785856001</v>
      </c>
      <c r="E89" s="5" t="s">
        <v>15</v>
      </c>
    </row>
    <row r="90" spans="1:5">
      <c r="A90" s="4">
        <v>43586</v>
      </c>
      <c r="B90" s="5">
        <v>27324204.8349046</v>
      </c>
      <c r="C90" s="5">
        <v>17094066.268296801</v>
      </c>
      <c r="D90" s="5">
        <v>37466021.383037299</v>
      </c>
      <c r="E90" s="5" t="s">
        <v>15</v>
      </c>
    </row>
    <row r="91" spans="1:5">
      <c r="A91" s="4">
        <v>43617</v>
      </c>
      <c r="B91" s="5">
        <v>26577313.599527001</v>
      </c>
      <c r="C91" s="5">
        <v>16820902.267362099</v>
      </c>
      <c r="D91" s="5">
        <v>37417538.447579101</v>
      </c>
      <c r="E91" s="5" t="s">
        <v>15</v>
      </c>
    </row>
    <row r="92" spans="1:5">
      <c r="A92" s="4">
        <v>43647</v>
      </c>
      <c r="B92" s="5">
        <v>31398535.6262905</v>
      </c>
      <c r="C92" s="5">
        <v>20512391.386246599</v>
      </c>
      <c r="D92" s="5">
        <v>42397391.960830398</v>
      </c>
      <c r="E92" s="5" t="s">
        <v>15</v>
      </c>
    </row>
    <row r="93" spans="1:5">
      <c r="A93" s="4">
        <v>43678</v>
      </c>
      <c r="B93" s="5">
        <v>55396869.303019397</v>
      </c>
      <c r="C93" s="5">
        <v>44780390.226580001</v>
      </c>
      <c r="D93" s="5">
        <v>65463004.135973401</v>
      </c>
      <c r="E93" s="5" t="s">
        <v>15</v>
      </c>
    </row>
    <row r="94" spans="1:5">
      <c r="A94" s="4">
        <v>43709</v>
      </c>
      <c r="B94" s="5">
        <v>33126705.102717299</v>
      </c>
      <c r="C94" s="5">
        <v>22835092.1094363</v>
      </c>
      <c r="D94" s="5">
        <v>43191354.943999901</v>
      </c>
      <c r="E94" s="5" t="s">
        <v>15</v>
      </c>
    </row>
    <row r="95" spans="1:5">
      <c r="A95" s="4">
        <v>43739</v>
      </c>
      <c r="B95" s="5">
        <v>33133263.158333398</v>
      </c>
      <c r="C95" s="5">
        <v>22612119.990845699</v>
      </c>
      <c r="D95" s="5">
        <v>44567583.070501603</v>
      </c>
      <c r="E95" s="5" t="s">
        <v>15</v>
      </c>
    </row>
    <row r="96" spans="1:5">
      <c r="A96" s="4">
        <v>43770</v>
      </c>
      <c r="B96" s="5">
        <v>33613478.033477098</v>
      </c>
      <c r="C96" s="5">
        <v>23278975.512377199</v>
      </c>
      <c r="D96" s="5">
        <v>44729645.522710897</v>
      </c>
      <c r="E96" s="5" t="s">
        <v>15</v>
      </c>
    </row>
    <row r="97" spans="1:5">
      <c r="A97" s="4">
        <v>43800</v>
      </c>
      <c r="B97" s="5">
        <v>31235602.3027476</v>
      </c>
      <c r="C97" s="5">
        <v>21227415.289044298</v>
      </c>
      <c r="D97" s="5">
        <v>42098312.511798397</v>
      </c>
      <c r="E97" s="5" t="s">
        <v>15</v>
      </c>
    </row>
    <row r="98" spans="1:5">
      <c r="A98" s="4">
        <v>43831</v>
      </c>
      <c r="B98" s="5">
        <v>21180773.387515798</v>
      </c>
      <c r="C98" s="5">
        <v>11215608.8363901</v>
      </c>
      <c r="D98" s="5">
        <v>31473717.079557098</v>
      </c>
      <c r="E98" s="5" t="s">
        <v>15</v>
      </c>
    </row>
    <row r="99" spans="1:5">
      <c r="A99" s="4">
        <v>43862</v>
      </c>
      <c r="B99" s="5">
        <v>36980579.972678602</v>
      </c>
      <c r="C99" s="5">
        <v>27126482.891688202</v>
      </c>
      <c r="D99" s="5">
        <v>47269689.351325803</v>
      </c>
      <c r="E99" s="5" t="s">
        <v>15</v>
      </c>
    </row>
    <row r="100" spans="1:5">
      <c r="A100" s="4">
        <v>43891</v>
      </c>
      <c r="B100" s="5">
        <v>33522611.146305501</v>
      </c>
      <c r="C100" s="5">
        <v>22672560.3420077</v>
      </c>
      <c r="D100" s="5">
        <v>44071709.280012801</v>
      </c>
      <c r="E100" s="5" t="s">
        <v>15</v>
      </c>
    </row>
    <row r="101" spans="1:5">
      <c r="A101" s="4">
        <v>43922</v>
      </c>
      <c r="B101" s="5">
        <v>36185989.082241498</v>
      </c>
      <c r="C101" s="5">
        <v>26054516.784963802</v>
      </c>
      <c r="D101" s="5">
        <v>46612155.019730903</v>
      </c>
      <c r="E101" s="5" t="s">
        <v>15</v>
      </c>
    </row>
    <row r="102" spans="1:5">
      <c r="A102" s="4">
        <v>43952</v>
      </c>
      <c r="B102" s="5">
        <v>38874670.256601296</v>
      </c>
      <c r="C102" s="5">
        <v>28373052.909124602</v>
      </c>
      <c r="D102" s="5">
        <v>49679293.255375803</v>
      </c>
      <c r="E102" s="5" t="s">
        <v>15</v>
      </c>
    </row>
    <row r="103" spans="1:5">
      <c r="A103" s="4">
        <v>43983</v>
      </c>
      <c r="B103" s="5">
        <v>41499503.684096999</v>
      </c>
      <c r="C103" s="5">
        <v>30725123.795710798</v>
      </c>
      <c r="D103" s="5">
        <v>51901725.440953903</v>
      </c>
      <c r="E103" s="5" t="s">
        <v>15</v>
      </c>
    </row>
    <row r="104" spans="1:5">
      <c r="A104" s="4">
        <v>44013</v>
      </c>
      <c r="B104" s="5">
        <v>37664303.9363074</v>
      </c>
      <c r="C104" s="5">
        <v>27479702.749996901</v>
      </c>
      <c r="D104" s="5">
        <v>48001113.5559467</v>
      </c>
      <c r="E104" s="5" t="s">
        <v>15</v>
      </c>
    </row>
    <row r="105" spans="1:5">
      <c r="A105" s="4">
        <v>44044</v>
      </c>
      <c r="B105" s="5">
        <v>27167224.585504401</v>
      </c>
      <c r="C105" s="5">
        <v>16310319.651347401</v>
      </c>
      <c r="D105" s="5">
        <v>38315899.588749699</v>
      </c>
      <c r="E105" s="5" t="s">
        <v>15</v>
      </c>
    </row>
    <row r="106" spans="1:5">
      <c r="A106" s="4">
        <v>44075</v>
      </c>
      <c r="B106" s="5">
        <v>38977579.942593202</v>
      </c>
      <c r="C106" s="5">
        <v>28030795.853961799</v>
      </c>
      <c r="D106" s="5">
        <v>48526336.504115202</v>
      </c>
      <c r="E106" s="5" t="s">
        <v>15</v>
      </c>
    </row>
    <row r="107" spans="1:5">
      <c r="A107" s="4">
        <v>44105</v>
      </c>
      <c r="B107" s="5">
        <v>29458305.978151899</v>
      </c>
      <c r="C107" s="5">
        <v>19603771.052418001</v>
      </c>
      <c r="D107" s="5">
        <v>39822621.199409403</v>
      </c>
      <c r="E107" s="5" t="s">
        <v>15</v>
      </c>
    </row>
    <row r="108" spans="1:5">
      <c r="A108" s="4">
        <v>44136</v>
      </c>
      <c r="B108" s="5">
        <v>41192970.3937224</v>
      </c>
      <c r="C108" s="5">
        <v>30529230.561054301</v>
      </c>
      <c r="D108" s="5">
        <v>52375204.431105599</v>
      </c>
      <c r="E108" s="5" t="s">
        <v>15</v>
      </c>
    </row>
    <row r="109" spans="1:5">
      <c r="A109" s="4">
        <v>44166</v>
      </c>
      <c r="B109" s="5">
        <v>39650245.322849996</v>
      </c>
      <c r="C109" s="5">
        <v>28667471.768240601</v>
      </c>
      <c r="D109" s="5">
        <v>50098208.376534998</v>
      </c>
      <c r="E109" s="5" t="s">
        <v>15</v>
      </c>
    </row>
    <row r="110" spans="1:5">
      <c r="A110" s="4">
        <v>44197</v>
      </c>
      <c r="B110" s="5">
        <v>28762313.794798899</v>
      </c>
      <c r="C110" s="5">
        <v>17755469.341796901</v>
      </c>
      <c r="D110" s="5">
        <v>39480944.053708501</v>
      </c>
      <c r="E110" s="5" t="s">
        <v>15</v>
      </c>
    </row>
    <row r="111" spans="1:5">
      <c r="A111" s="4">
        <v>44228</v>
      </c>
      <c r="B111" s="5">
        <v>40082126.100682199</v>
      </c>
      <c r="C111" s="5">
        <v>29153939.442225002</v>
      </c>
      <c r="D111" s="5">
        <v>50850796.623122901</v>
      </c>
      <c r="E111" s="5" t="s">
        <v>15</v>
      </c>
    </row>
    <row r="112" spans="1:5">
      <c r="A112" s="4">
        <v>44256</v>
      </c>
      <c r="B112" s="5">
        <v>43722784.113436997</v>
      </c>
      <c r="C112" s="5">
        <v>33466052.469650201</v>
      </c>
      <c r="D112" s="5">
        <v>54429208.6549742</v>
      </c>
      <c r="E112" s="5" t="s">
        <v>15</v>
      </c>
    </row>
    <row r="113" spans="1:5">
      <c r="A113" s="4">
        <v>44287</v>
      </c>
      <c r="B113" s="5">
        <v>35554127.804801799</v>
      </c>
      <c r="C113" s="5">
        <v>24922739.402924702</v>
      </c>
      <c r="D113" s="5">
        <v>45910849.810246103</v>
      </c>
      <c r="E113" s="5" t="s">
        <v>15</v>
      </c>
    </row>
    <row r="114" spans="1:5">
      <c r="A114" s="4">
        <v>44317</v>
      </c>
      <c r="B114" s="5">
        <v>36285780.068407103</v>
      </c>
      <c r="C114" s="5">
        <v>26303245.015679199</v>
      </c>
      <c r="D114" s="5">
        <v>47008893.017974101</v>
      </c>
      <c r="E114" s="5" t="s">
        <v>15</v>
      </c>
    </row>
    <row r="115" spans="1:5">
      <c r="A115" s="4">
        <v>44348</v>
      </c>
      <c r="B115" s="5">
        <v>37674166.168385901</v>
      </c>
      <c r="C115" s="5">
        <v>27302577.288349699</v>
      </c>
      <c r="D115" s="5">
        <v>48432800.860527202</v>
      </c>
      <c r="E115" s="5" t="s">
        <v>15</v>
      </c>
    </row>
    <row r="116" spans="1:5">
      <c r="A116" s="4">
        <v>44378</v>
      </c>
      <c r="B116" s="5">
        <v>36568697.803839199</v>
      </c>
      <c r="C116" s="5">
        <v>26916541.208545499</v>
      </c>
      <c r="D116" s="5">
        <v>46733816.397756599</v>
      </c>
      <c r="E116" s="5" t="s">
        <v>15</v>
      </c>
    </row>
    <row r="117" spans="1:5">
      <c r="A117" s="4">
        <v>44409</v>
      </c>
      <c r="B117" s="5">
        <v>38008135.136148103</v>
      </c>
      <c r="C117" s="5">
        <v>27664951.523272399</v>
      </c>
      <c r="D117" s="5">
        <v>48043554.445562802</v>
      </c>
      <c r="E117" s="5" t="s">
        <v>15</v>
      </c>
    </row>
    <row r="118" spans="1:5">
      <c r="A118" s="4">
        <v>44440</v>
      </c>
      <c r="B118" s="5">
        <v>38422228.068686597</v>
      </c>
      <c r="C118" s="5">
        <v>27312095.112286199</v>
      </c>
      <c r="D118" s="5">
        <v>49231472.289007403</v>
      </c>
      <c r="E118" s="5" t="s">
        <v>15</v>
      </c>
    </row>
    <row r="119" spans="1:5">
      <c r="A119" s="4">
        <v>44470</v>
      </c>
      <c r="B119" s="5">
        <v>31864211.9297801</v>
      </c>
      <c r="C119" s="5">
        <v>21134567.893958699</v>
      </c>
      <c r="D119" s="5">
        <v>42618299.3219091</v>
      </c>
      <c r="E119" s="5" t="s">
        <v>15</v>
      </c>
    </row>
    <row r="120" spans="1:5">
      <c r="A120" s="4">
        <v>44501</v>
      </c>
      <c r="B120" s="5">
        <v>40069587.848977402</v>
      </c>
      <c r="C120" s="5">
        <v>29837235.219296299</v>
      </c>
      <c r="D120" s="5">
        <v>51272698.593478203</v>
      </c>
      <c r="E120" s="5" t="s">
        <v>15</v>
      </c>
    </row>
    <row r="121" spans="1:5">
      <c r="A121" s="4">
        <v>44531</v>
      </c>
      <c r="B121" s="5">
        <v>38082094.564620197</v>
      </c>
      <c r="C121" s="5">
        <v>26388693.702654701</v>
      </c>
      <c r="D121" s="5">
        <v>47695803.188452497</v>
      </c>
      <c r="E121" s="5" t="s">
        <v>15</v>
      </c>
    </row>
    <row r="122" spans="1:5">
      <c r="A122" s="4">
        <v>42736</v>
      </c>
      <c r="B122" s="5">
        <v>22189793.88377</v>
      </c>
      <c r="C122" s="5">
        <v>11669278.235197799</v>
      </c>
      <c r="D122" s="5">
        <v>33058394.969868999</v>
      </c>
      <c r="E122" s="5" t="s">
        <v>16</v>
      </c>
    </row>
    <row r="123" spans="1:5">
      <c r="A123" s="4">
        <v>42767</v>
      </c>
      <c r="B123" s="5">
        <v>31294214.072239298</v>
      </c>
      <c r="C123" s="5">
        <v>20270214.426845301</v>
      </c>
      <c r="D123" s="5">
        <v>42202852.876266398</v>
      </c>
      <c r="E123" s="5" t="s">
        <v>16</v>
      </c>
    </row>
    <row r="124" spans="1:5">
      <c r="A124" s="4">
        <v>42795</v>
      </c>
      <c r="B124" s="5">
        <v>25460835.834168699</v>
      </c>
      <c r="C124" s="5">
        <v>14785638.208310099</v>
      </c>
      <c r="D124" s="5">
        <v>36488180.2885077</v>
      </c>
      <c r="E124" s="5" t="s">
        <v>16</v>
      </c>
    </row>
    <row r="125" spans="1:5">
      <c r="A125" s="4">
        <v>42826</v>
      </c>
      <c r="B125" s="5">
        <v>16252700.1115424</v>
      </c>
      <c r="C125" s="5">
        <v>5816085.34780009</v>
      </c>
      <c r="D125" s="5">
        <v>27489351.457360402</v>
      </c>
      <c r="E125" s="5" t="s">
        <v>16</v>
      </c>
    </row>
    <row r="126" spans="1:5">
      <c r="A126" s="4">
        <v>42856</v>
      </c>
      <c r="B126" s="5">
        <v>21802119.960748699</v>
      </c>
      <c r="C126" s="5">
        <v>11114832.1576587</v>
      </c>
      <c r="D126" s="5">
        <v>33031773.5222863</v>
      </c>
      <c r="E126" s="5" t="s">
        <v>16</v>
      </c>
    </row>
    <row r="127" spans="1:5">
      <c r="A127" s="4">
        <v>42887</v>
      </c>
      <c r="B127" s="5">
        <v>27539077.237644698</v>
      </c>
      <c r="C127" s="5">
        <v>16616716.207129201</v>
      </c>
      <c r="D127" s="5">
        <v>37731079.198730297</v>
      </c>
      <c r="E127" s="5" t="s">
        <v>16</v>
      </c>
    </row>
    <row r="128" spans="1:5">
      <c r="A128" s="4">
        <v>42917</v>
      </c>
      <c r="B128" s="5">
        <v>32369064.5330997</v>
      </c>
      <c r="C128" s="5">
        <v>21845045.107113801</v>
      </c>
      <c r="D128" s="5">
        <v>43944724.863018297</v>
      </c>
      <c r="E128" s="5" t="s">
        <v>16</v>
      </c>
    </row>
    <row r="129" spans="1:5">
      <c r="A129" s="4">
        <v>42948</v>
      </c>
      <c r="B129" s="5">
        <v>21147074.476351202</v>
      </c>
      <c r="C129" s="5">
        <v>10354698.455838701</v>
      </c>
      <c r="D129" s="5">
        <v>31844207.408939999</v>
      </c>
      <c r="E129" s="5" t="s">
        <v>16</v>
      </c>
    </row>
    <row r="130" spans="1:5">
      <c r="A130" s="4">
        <v>42979</v>
      </c>
      <c r="B130" s="5">
        <v>18027114.932990499</v>
      </c>
      <c r="C130" s="5">
        <v>7324471.9215120096</v>
      </c>
      <c r="D130" s="5">
        <v>28813471.348328099</v>
      </c>
      <c r="E130" s="5" t="s">
        <v>16</v>
      </c>
    </row>
    <row r="131" spans="1:5">
      <c r="A131" s="4">
        <v>43009</v>
      </c>
      <c r="B131" s="5">
        <v>34166559.436907902</v>
      </c>
      <c r="C131" s="5">
        <v>22965358.7211251</v>
      </c>
      <c r="D131" s="5">
        <v>44909234.9221728</v>
      </c>
      <c r="E131" s="5" t="s">
        <v>16</v>
      </c>
    </row>
    <row r="132" spans="1:5">
      <c r="A132" s="4">
        <v>43040</v>
      </c>
      <c r="B132" s="5">
        <v>24451487.810122602</v>
      </c>
      <c r="C132" s="5">
        <v>14054001.516779</v>
      </c>
      <c r="D132" s="5">
        <v>34691097.889508598</v>
      </c>
      <c r="E132" s="5" t="s">
        <v>16</v>
      </c>
    </row>
    <row r="133" spans="1:5">
      <c r="A133" s="4">
        <v>43070</v>
      </c>
      <c r="B133" s="5">
        <v>23199784.743080299</v>
      </c>
      <c r="C133" s="5">
        <v>13557167.455670999</v>
      </c>
      <c r="D133" s="5">
        <v>34341816.69545</v>
      </c>
      <c r="E133" s="5" t="s">
        <v>16</v>
      </c>
    </row>
    <row r="134" spans="1:5">
      <c r="A134" s="4">
        <v>43101</v>
      </c>
      <c r="B134" s="5">
        <v>21250436.734256599</v>
      </c>
      <c r="C134" s="5">
        <v>10382748.6580339</v>
      </c>
      <c r="D134" s="5">
        <v>32882471.129363298</v>
      </c>
      <c r="E134" s="5" t="s">
        <v>16</v>
      </c>
    </row>
    <row r="135" spans="1:5">
      <c r="A135" s="4">
        <v>43132</v>
      </c>
      <c r="B135" s="5">
        <v>33236856.2274196</v>
      </c>
      <c r="C135" s="5">
        <v>22882034.115582701</v>
      </c>
      <c r="D135" s="5">
        <v>44539032.512700997</v>
      </c>
      <c r="E135" s="5" t="s">
        <v>16</v>
      </c>
    </row>
    <row r="136" spans="1:5">
      <c r="A136" s="4">
        <v>43160</v>
      </c>
      <c r="B136" s="5">
        <v>32204628.5076476</v>
      </c>
      <c r="C136" s="5">
        <v>21447509.500825699</v>
      </c>
      <c r="D136" s="5">
        <v>43029052.855778299</v>
      </c>
      <c r="E136" s="5" t="s">
        <v>16</v>
      </c>
    </row>
    <row r="137" spans="1:5">
      <c r="A137" s="4">
        <v>43191</v>
      </c>
      <c r="B137" s="5">
        <v>19643179.9357972</v>
      </c>
      <c r="C137" s="5">
        <v>8214449.6336251199</v>
      </c>
      <c r="D137" s="5">
        <v>30777420.5060829</v>
      </c>
      <c r="E137" s="5" t="s">
        <v>16</v>
      </c>
    </row>
    <row r="138" spans="1:5">
      <c r="A138" s="4">
        <v>43221</v>
      </c>
      <c r="B138" s="5">
        <v>24633612.771607999</v>
      </c>
      <c r="C138" s="5">
        <v>14451022.7161805</v>
      </c>
      <c r="D138" s="5">
        <v>35080162.379756697</v>
      </c>
      <c r="E138" s="5" t="s">
        <v>16</v>
      </c>
    </row>
    <row r="139" spans="1:5">
      <c r="A139" s="4">
        <v>43252</v>
      </c>
      <c r="B139" s="5">
        <v>30019247.0103066</v>
      </c>
      <c r="C139" s="5">
        <v>19311977.368727598</v>
      </c>
      <c r="D139" s="5">
        <v>41385341.764913097</v>
      </c>
      <c r="E139" s="5" t="s">
        <v>16</v>
      </c>
    </row>
    <row r="140" spans="1:5">
      <c r="A140" s="4">
        <v>43282</v>
      </c>
      <c r="B140" s="5">
        <v>33882514.1952544</v>
      </c>
      <c r="C140" s="5">
        <v>23241771.673128799</v>
      </c>
      <c r="D140" s="5">
        <v>44882341.528565101</v>
      </c>
      <c r="E140" s="5" t="s">
        <v>16</v>
      </c>
    </row>
    <row r="141" spans="1:5">
      <c r="A141" s="4">
        <v>43313</v>
      </c>
      <c r="B141" s="5">
        <v>25449673.770707499</v>
      </c>
      <c r="C141" s="5">
        <v>14280571.792156</v>
      </c>
      <c r="D141" s="5">
        <v>36641748.451341897</v>
      </c>
      <c r="E141" s="5" t="s">
        <v>16</v>
      </c>
    </row>
    <row r="142" spans="1:5">
      <c r="A142" s="4">
        <v>43344</v>
      </c>
      <c r="B142" s="5">
        <v>26495874.197398599</v>
      </c>
      <c r="C142" s="5">
        <v>15814417.433212999</v>
      </c>
      <c r="D142" s="5">
        <v>37745407.621411599</v>
      </c>
      <c r="E142" s="5" t="s">
        <v>16</v>
      </c>
    </row>
    <row r="143" spans="1:5">
      <c r="A143" s="4">
        <v>43374</v>
      </c>
      <c r="B143" s="5">
        <v>33819787.065685801</v>
      </c>
      <c r="C143" s="5">
        <v>22750414.679743901</v>
      </c>
      <c r="D143" s="5">
        <v>44195575.202541001</v>
      </c>
      <c r="E143" s="5" t="s">
        <v>16</v>
      </c>
    </row>
    <row r="144" spans="1:5">
      <c r="A144" s="4">
        <v>43405</v>
      </c>
      <c r="B144" s="5">
        <v>24001085.319135599</v>
      </c>
      <c r="C144" s="5">
        <v>13514926.18228</v>
      </c>
      <c r="D144" s="5">
        <v>35165485.7933916</v>
      </c>
      <c r="E144" s="5" t="s">
        <v>16</v>
      </c>
    </row>
    <row r="145" spans="1:5">
      <c r="A145" s="4">
        <v>43435</v>
      </c>
      <c r="B145" s="5">
        <v>34583472.489549398</v>
      </c>
      <c r="C145" s="5">
        <v>22984782.135451902</v>
      </c>
      <c r="D145" s="5">
        <v>45162257.995751403</v>
      </c>
      <c r="E145" s="5" t="s">
        <v>16</v>
      </c>
    </row>
    <row r="146" spans="1:5">
      <c r="A146" s="4">
        <v>43466</v>
      </c>
      <c r="B146" s="5">
        <v>19121220.439696599</v>
      </c>
      <c r="C146" s="5">
        <v>8865050.1353940591</v>
      </c>
      <c r="D146" s="5">
        <v>30143300.847835898</v>
      </c>
      <c r="E146" s="5" t="s">
        <v>16</v>
      </c>
    </row>
    <row r="147" spans="1:5">
      <c r="A147" s="4">
        <v>43497</v>
      </c>
      <c r="B147" s="5">
        <v>34601835.899995603</v>
      </c>
      <c r="C147" s="5">
        <v>23247339.405855499</v>
      </c>
      <c r="D147" s="5">
        <v>45835013.442671902</v>
      </c>
      <c r="E147" s="5" t="s">
        <v>16</v>
      </c>
    </row>
    <row r="148" spans="1:5">
      <c r="A148" s="4">
        <v>43525</v>
      </c>
      <c r="B148" s="5">
        <v>39772929.087094501</v>
      </c>
      <c r="C148" s="5">
        <v>28784973.351162501</v>
      </c>
      <c r="D148" s="5">
        <v>50898558.608065002</v>
      </c>
      <c r="E148" s="5" t="s">
        <v>16</v>
      </c>
    </row>
    <row r="149" spans="1:5">
      <c r="A149" s="4">
        <v>43556</v>
      </c>
      <c r="B149" s="5">
        <v>23259005.808639999</v>
      </c>
      <c r="C149" s="5">
        <v>13049089.5164428</v>
      </c>
      <c r="D149" s="5">
        <v>34207629.553269498</v>
      </c>
      <c r="E149" s="5" t="s">
        <v>16</v>
      </c>
    </row>
    <row r="150" spans="1:5">
      <c r="A150" s="4">
        <v>43586</v>
      </c>
      <c r="B150" s="5">
        <v>27350787.1730945</v>
      </c>
      <c r="C150" s="5">
        <v>16719967.9709771</v>
      </c>
      <c r="D150" s="5">
        <v>37953014.3582469</v>
      </c>
      <c r="E150" s="5" t="s">
        <v>16</v>
      </c>
    </row>
    <row r="151" spans="1:5">
      <c r="A151" s="4">
        <v>43617</v>
      </c>
      <c r="B151" s="5">
        <v>32139132.788771499</v>
      </c>
      <c r="C151" s="5">
        <v>20929628.3177846</v>
      </c>
      <c r="D151" s="5">
        <v>42890614.946901903</v>
      </c>
      <c r="E151" s="5" t="s">
        <v>16</v>
      </c>
    </row>
    <row r="152" spans="1:5">
      <c r="A152" s="4">
        <v>43647</v>
      </c>
      <c r="B152" s="5">
        <v>34768231.345081903</v>
      </c>
      <c r="C152" s="5">
        <v>22771474.503110301</v>
      </c>
      <c r="D152" s="5">
        <v>46039977.232984804</v>
      </c>
      <c r="E152" s="5" t="s">
        <v>16</v>
      </c>
    </row>
    <row r="153" spans="1:5">
      <c r="A153" s="4">
        <v>43678</v>
      </c>
      <c r="B153" s="5">
        <v>30225016.035504501</v>
      </c>
      <c r="C153" s="5">
        <v>19909455.9356783</v>
      </c>
      <c r="D153" s="5">
        <v>41159308.4220649</v>
      </c>
      <c r="E153" s="5" t="s">
        <v>16</v>
      </c>
    </row>
    <row r="154" spans="1:5">
      <c r="A154" s="4">
        <v>43709</v>
      </c>
      <c r="B154" s="5">
        <v>36312374.036229998</v>
      </c>
      <c r="C154" s="5">
        <v>24993121.679577202</v>
      </c>
      <c r="D154" s="5">
        <v>47125003.099493399</v>
      </c>
      <c r="E154" s="5" t="s">
        <v>16</v>
      </c>
    </row>
    <row r="155" spans="1:5">
      <c r="A155" s="4">
        <v>43739</v>
      </c>
      <c r="B155" s="5">
        <v>32222748.787615601</v>
      </c>
      <c r="C155" s="5">
        <v>21678761.8582699</v>
      </c>
      <c r="D155" s="5">
        <v>43089470.555676997</v>
      </c>
      <c r="E155" s="5" t="s">
        <v>16</v>
      </c>
    </row>
    <row r="156" spans="1:5">
      <c r="A156" s="4">
        <v>43770</v>
      </c>
      <c r="B156" s="5">
        <v>22858180.7029172</v>
      </c>
      <c r="C156" s="5">
        <v>12587540.742197501</v>
      </c>
      <c r="D156" s="5">
        <v>33575141.4695867</v>
      </c>
      <c r="E156" s="5" t="s">
        <v>16</v>
      </c>
    </row>
    <row r="157" spans="1:5">
      <c r="A157" s="4">
        <v>43800</v>
      </c>
      <c r="B157" s="5">
        <v>47857058.578084998</v>
      </c>
      <c r="C157" s="5">
        <v>36247711.7989733</v>
      </c>
      <c r="D157" s="5">
        <v>58128511.187746599</v>
      </c>
      <c r="E157" s="5" t="s">
        <v>16</v>
      </c>
    </row>
    <row r="158" spans="1:5">
      <c r="A158" s="4">
        <v>43831</v>
      </c>
      <c r="B158" s="5">
        <v>15765402.315147599</v>
      </c>
      <c r="C158" s="5">
        <v>5381826.3085433999</v>
      </c>
      <c r="D158" s="5">
        <v>27536111.5132793</v>
      </c>
      <c r="E158" s="5" t="s">
        <v>16</v>
      </c>
    </row>
    <row r="159" spans="1:5">
      <c r="A159" s="4">
        <v>43862</v>
      </c>
      <c r="B159" s="5">
        <v>35418180.537005603</v>
      </c>
      <c r="C159" s="5">
        <v>25084636.330944099</v>
      </c>
      <c r="D159" s="5">
        <v>46772867.882646903</v>
      </c>
      <c r="E159" s="5" t="s">
        <v>16</v>
      </c>
    </row>
    <row r="160" spans="1:5">
      <c r="A160" s="4">
        <v>43891</v>
      </c>
      <c r="B160" s="5">
        <v>32561047.270927802</v>
      </c>
      <c r="C160" s="5">
        <v>21644847.856256802</v>
      </c>
      <c r="D160" s="5">
        <v>44041389.753049098</v>
      </c>
      <c r="E160" s="5" t="s">
        <v>16</v>
      </c>
    </row>
    <row r="161" spans="1:5">
      <c r="A161" s="4">
        <v>43922</v>
      </c>
      <c r="B161" s="5">
        <v>21727869.318256501</v>
      </c>
      <c r="C161" s="5">
        <v>11263931.2415078</v>
      </c>
      <c r="D161" s="5">
        <v>32603204.412977099</v>
      </c>
      <c r="E161" s="5" t="s">
        <v>16</v>
      </c>
    </row>
    <row r="162" spans="1:5">
      <c r="A162" s="4">
        <v>43952</v>
      </c>
      <c r="B162" s="5">
        <v>31132929.521928102</v>
      </c>
      <c r="C162" s="5">
        <v>21010270.316581</v>
      </c>
      <c r="D162" s="5">
        <v>42334971.265640303</v>
      </c>
      <c r="E162" s="5" t="s">
        <v>16</v>
      </c>
    </row>
    <row r="163" spans="1:5">
      <c r="A163" s="4">
        <v>43983</v>
      </c>
      <c r="B163" s="5">
        <v>40535956.0073829</v>
      </c>
      <c r="C163" s="5">
        <v>30517083.256785199</v>
      </c>
      <c r="D163" s="5">
        <v>51928555.3847434</v>
      </c>
      <c r="E163" s="5" t="s">
        <v>16</v>
      </c>
    </row>
    <row r="164" spans="1:5">
      <c r="A164" s="4">
        <v>44013</v>
      </c>
      <c r="B164" s="5">
        <v>49296436.160012498</v>
      </c>
      <c r="C164" s="5">
        <v>38060034.732123204</v>
      </c>
      <c r="D164" s="5">
        <v>61222605.990844898</v>
      </c>
      <c r="E164" s="5" t="s">
        <v>16</v>
      </c>
    </row>
    <row r="165" spans="1:5">
      <c r="A165" s="4">
        <v>44044</v>
      </c>
      <c r="B165" s="5">
        <v>28056356.710419402</v>
      </c>
      <c r="C165" s="5">
        <v>17686099.593321599</v>
      </c>
      <c r="D165" s="5">
        <v>38838781.727882497</v>
      </c>
      <c r="E165" s="5" t="s">
        <v>16</v>
      </c>
    </row>
    <row r="166" spans="1:5">
      <c r="A166" s="4">
        <v>44075</v>
      </c>
      <c r="B166" s="5">
        <v>17668579.766891599</v>
      </c>
      <c r="C166" s="5">
        <v>6903972.8079231</v>
      </c>
      <c r="D166" s="5">
        <v>28912290.947529901</v>
      </c>
      <c r="E166" s="5" t="s">
        <v>16</v>
      </c>
    </row>
    <row r="167" spans="1:5">
      <c r="A167" s="4">
        <v>44105</v>
      </c>
      <c r="B167" s="5">
        <v>53539770.648022197</v>
      </c>
      <c r="C167" s="5">
        <v>42424106.5097837</v>
      </c>
      <c r="D167" s="5">
        <v>65676531.191719398</v>
      </c>
      <c r="E167" s="5" t="s">
        <v>16</v>
      </c>
    </row>
    <row r="168" spans="1:5">
      <c r="A168" s="4">
        <v>44136</v>
      </c>
      <c r="B168" s="5">
        <v>38662870.753971599</v>
      </c>
      <c r="C168" s="5">
        <v>28379385.800455801</v>
      </c>
      <c r="D168" s="5">
        <v>50232549.796569102</v>
      </c>
      <c r="E168" s="5" t="s">
        <v>16</v>
      </c>
    </row>
    <row r="169" spans="1:5">
      <c r="A169" s="4">
        <v>44166</v>
      </c>
      <c r="B169" s="5">
        <v>21854928.5213302</v>
      </c>
      <c r="C169" s="5">
        <v>11164522.386564501</v>
      </c>
      <c r="D169" s="5">
        <v>32767625.3532084</v>
      </c>
      <c r="E169" s="5" t="s">
        <v>16</v>
      </c>
    </row>
    <row r="170" spans="1:5">
      <c r="A170" s="4">
        <v>44197</v>
      </c>
      <c r="B170" s="5">
        <v>35182773.0509279</v>
      </c>
      <c r="C170" s="5">
        <v>23815776.430817701</v>
      </c>
      <c r="D170" s="5">
        <v>45790979.314920798</v>
      </c>
      <c r="E170" s="5" t="s">
        <v>16</v>
      </c>
    </row>
    <row r="171" spans="1:5">
      <c r="A171" s="4">
        <v>44228</v>
      </c>
      <c r="B171" s="5">
        <v>49393315.076126799</v>
      </c>
      <c r="C171" s="5">
        <v>39015426.844167501</v>
      </c>
      <c r="D171" s="5">
        <v>60856692.826396398</v>
      </c>
      <c r="E171" s="5" t="s">
        <v>16</v>
      </c>
    </row>
    <row r="172" spans="1:5">
      <c r="A172" s="4">
        <v>44256</v>
      </c>
      <c r="B172" s="5">
        <v>40024756.637212701</v>
      </c>
      <c r="C172" s="5">
        <v>28956766.338293601</v>
      </c>
      <c r="D172" s="5">
        <v>49848897.939709298</v>
      </c>
      <c r="E172" s="5" t="s">
        <v>16</v>
      </c>
    </row>
    <row r="173" spans="1:5">
      <c r="A173" s="4">
        <v>44287</v>
      </c>
      <c r="B173" s="5">
        <v>25437967.072912998</v>
      </c>
      <c r="C173" s="5">
        <v>14998204.783135399</v>
      </c>
      <c r="D173" s="5">
        <v>36664078.572430901</v>
      </c>
      <c r="E173" s="5" t="s">
        <v>16</v>
      </c>
    </row>
    <row r="174" spans="1:5">
      <c r="A174" s="4">
        <v>44317</v>
      </c>
      <c r="B174" s="5">
        <v>33982310.700926401</v>
      </c>
      <c r="C174" s="5">
        <v>23508392.9332816</v>
      </c>
      <c r="D174" s="5">
        <v>45467246.318330303</v>
      </c>
      <c r="E174" s="5" t="s">
        <v>16</v>
      </c>
    </row>
    <row r="175" spans="1:5">
      <c r="A175" s="4">
        <v>44348</v>
      </c>
      <c r="B175" s="5">
        <v>42744092.240142897</v>
      </c>
      <c r="C175" s="5">
        <v>31738288.3104004</v>
      </c>
      <c r="D175" s="5">
        <v>53783055.514509797</v>
      </c>
      <c r="E175" s="5" t="s">
        <v>16</v>
      </c>
    </row>
    <row r="176" spans="1:5">
      <c r="A176" s="4">
        <v>44378</v>
      </c>
      <c r="B176" s="5">
        <v>50040490.079969697</v>
      </c>
      <c r="C176" s="5">
        <v>38878974.252577901</v>
      </c>
      <c r="D176" s="5">
        <v>61369305.689480796</v>
      </c>
      <c r="E176" s="5" t="s">
        <v>16</v>
      </c>
    </row>
    <row r="177" spans="1:5">
      <c r="A177" s="4">
        <v>44409</v>
      </c>
      <c r="B177" s="5">
        <v>32559811.867021799</v>
      </c>
      <c r="C177" s="5">
        <v>22507814.9852609</v>
      </c>
      <c r="D177" s="5">
        <v>43512462.466755599</v>
      </c>
      <c r="E177" s="5" t="s">
        <v>16</v>
      </c>
    </row>
    <row r="178" spans="1:5">
      <c r="A178" s="4">
        <v>44440</v>
      </c>
      <c r="B178" s="5">
        <v>27645912.888932999</v>
      </c>
      <c r="C178" s="5">
        <v>16997982.6680112</v>
      </c>
      <c r="D178" s="5">
        <v>37668019.582550302</v>
      </c>
      <c r="E178" s="5" t="s">
        <v>16</v>
      </c>
    </row>
    <row r="179" spans="1:5">
      <c r="A179" s="4">
        <v>44470</v>
      </c>
      <c r="B179" s="5">
        <v>52199369.200090297</v>
      </c>
      <c r="C179" s="5">
        <v>41595160.710039698</v>
      </c>
      <c r="D179" s="5">
        <v>62514907.3293458</v>
      </c>
      <c r="E179" s="5" t="s">
        <v>16</v>
      </c>
    </row>
    <row r="180" spans="1:5">
      <c r="A180" s="4">
        <v>44501</v>
      </c>
      <c r="B180" s="5">
        <v>37213843.768614002</v>
      </c>
      <c r="C180" s="5">
        <v>27408504.719866298</v>
      </c>
      <c r="D180" s="5">
        <v>47778265.425711997</v>
      </c>
      <c r="E180" s="5" t="s">
        <v>16</v>
      </c>
    </row>
    <row r="181" spans="1:5">
      <c r="A181" s="4">
        <v>44531</v>
      </c>
      <c r="B181" s="5">
        <v>35180415.419492297</v>
      </c>
      <c r="C181" s="5">
        <v>24803473.410981901</v>
      </c>
      <c r="D181" s="5">
        <v>45730984.606039703</v>
      </c>
      <c r="E181" s="5" t="s">
        <v>16</v>
      </c>
    </row>
    <row r="182" spans="1:5">
      <c r="A182" s="4">
        <v>42736</v>
      </c>
      <c r="B182" s="5">
        <v>24026945.551869798</v>
      </c>
      <c r="C182" s="5">
        <v>14697006.137494</v>
      </c>
      <c r="D182" s="5">
        <v>33025820.213683501</v>
      </c>
      <c r="E182" s="5" t="s">
        <v>17</v>
      </c>
    </row>
    <row r="183" spans="1:5">
      <c r="A183" s="4">
        <v>42767</v>
      </c>
      <c r="B183" s="5">
        <v>40359854.673290297</v>
      </c>
      <c r="C183" s="5">
        <v>31162316.436892599</v>
      </c>
      <c r="D183" s="5">
        <v>49962302.554324903</v>
      </c>
      <c r="E183" s="5" t="s">
        <v>17</v>
      </c>
    </row>
    <row r="184" spans="1:5">
      <c r="A184" s="4">
        <v>42795</v>
      </c>
      <c r="B184" s="5">
        <v>41824130.372798197</v>
      </c>
      <c r="C184" s="5">
        <v>31818545.175211798</v>
      </c>
      <c r="D184" s="5">
        <v>51033678.569447502</v>
      </c>
      <c r="E184" s="5" t="s">
        <v>17</v>
      </c>
    </row>
    <row r="185" spans="1:5">
      <c r="A185" s="4">
        <v>42826</v>
      </c>
      <c r="B185" s="5">
        <v>26691639.428165</v>
      </c>
      <c r="C185" s="5">
        <v>17824840.181802101</v>
      </c>
      <c r="D185" s="5">
        <v>36459819.731049098</v>
      </c>
      <c r="E185" s="5" t="s">
        <v>17</v>
      </c>
    </row>
    <row r="186" spans="1:5">
      <c r="A186" s="4">
        <v>42856</v>
      </c>
      <c r="B186" s="5">
        <v>36743770.674274601</v>
      </c>
      <c r="C186" s="5">
        <v>27641857.672289498</v>
      </c>
      <c r="D186" s="5">
        <v>46916475.211289197</v>
      </c>
      <c r="E186" s="5" t="s">
        <v>17</v>
      </c>
    </row>
    <row r="187" spans="1:5">
      <c r="A187" s="4">
        <v>42887</v>
      </c>
      <c r="B187" s="5">
        <v>36713896.172143303</v>
      </c>
      <c r="C187" s="5">
        <v>27876556.735872898</v>
      </c>
      <c r="D187" s="5">
        <v>46049803.3167115</v>
      </c>
      <c r="E187" s="5" t="s">
        <v>17</v>
      </c>
    </row>
    <row r="188" spans="1:5">
      <c r="A188" s="4">
        <v>42917</v>
      </c>
      <c r="B188" s="5">
        <v>47184007.694419198</v>
      </c>
      <c r="C188" s="5">
        <v>37830022.646943502</v>
      </c>
      <c r="D188" s="5">
        <v>55931088.905155599</v>
      </c>
      <c r="E188" s="5" t="s">
        <v>17</v>
      </c>
    </row>
    <row r="189" spans="1:5">
      <c r="A189" s="4">
        <v>42948</v>
      </c>
      <c r="B189" s="5">
        <v>39218203.836584203</v>
      </c>
      <c r="C189" s="5">
        <v>29844320.840544801</v>
      </c>
      <c r="D189" s="5">
        <v>48830137.470200799</v>
      </c>
      <c r="E189" s="5" t="s">
        <v>17</v>
      </c>
    </row>
    <row r="190" spans="1:5">
      <c r="A190" s="4">
        <v>42979</v>
      </c>
      <c r="B190" s="5">
        <v>36742106.052737601</v>
      </c>
      <c r="C190" s="5">
        <v>27217527.705119099</v>
      </c>
      <c r="D190" s="5">
        <v>45454234.242101103</v>
      </c>
      <c r="E190" s="5" t="s">
        <v>17</v>
      </c>
    </row>
    <row r="191" spans="1:5">
      <c r="A191" s="4">
        <v>43009</v>
      </c>
      <c r="B191" s="5">
        <v>35788093.024101503</v>
      </c>
      <c r="C191" s="5">
        <v>25926807.009077199</v>
      </c>
      <c r="D191" s="5">
        <v>45379792.327047899</v>
      </c>
      <c r="E191" s="5" t="s">
        <v>17</v>
      </c>
    </row>
    <row r="192" spans="1:5">
      <c r="A192" s="4">
        <v>43040</v>
      </c>
      <c r="B192" s="5">
        <v>45210818.938437097</v>
      </c>
      <c r="C192" s="5">
        <v>35738512.938585103</v>
      </c>
      <c r="D192" s="5">
        <v>54253849.206300803</v>
      </c>
      <c r="E192" s="5" t="s">
        <v>17</v>
      </c>
    </row>
    <row r="193" spans="1:5">
      <c r="A193" s="4">
        <v>43070</v>
      </c>
      <c r="B193" s="5">
        <v>37281752.555524401</v>
      </c>
      <c r="C193" s="5">
        <v>28255560.142949499</v>
      </c>
      <c r="D193" s="5">
        <v>46955844.708360702</v>
      </c>
      <c r="E193" s="5" t="s">
        <v>17</v>
      </c>
    </row>
    <row r="194" spans="1:5">
      <c r="A194" s="4">
        <v>43101</v>
      </c>
      <c r="B194" s="5">
        <v>23545195.3193326</v>
      </c>
      <c r="C194" s="5">
        <v>13545579.890442399</v>
      </c>
      <c r="D194" s="5">
        <v>32759756.818096001</v>
      </c>
      <c r="E194" s="5" t="s">
        <v>17</v>
      </c>
    </row>
    <row r="195" spans="1:5">
      <c r="A195" s="4">
        <v>43132</v>
      </c>
      <c r="B195" s="5">
        <v>36905751.563650697</v>
      </c>
      <c r="C195" s="5">
        <v>27793830.250583</v>
      </c>
      <c r="D195" s="5">
        <v>46155831.890038498</v>
      </c>
      <c r="E195" s="5" t="s">
        <v>17</v>
      </c>
    </row>
    <row r="196" spans="1:5">
      <c r="A196" s="4">
        <v>43160</v>
      </c>
      <c r="B196" s="5">
        <v>47228998.807263501</v>
      </c>
      <c r="C196" s="5">
        <v>37782963.906374604</v>
      </c>
      <c r="D196" s="5">
        <v>56481255.790761597</v>
      </c>
      <c r="E196" s="5" t="s">
        <v>17</v>
      </c>
    </row>
    <row r="197" spans="1:5">
      <c r="A197" s="4">
        <v>43191</v>
      </c>
      <c r="B197" s="5">
        <v>26982095.9528521</v>
      </c>
      <c r="C197" s="5">
        <v>17013779.413318299</v>
      </c>
      <c r="D197" s="5">
        <v>36088736.429503903</v>
      </c>
      <c r="E197" s="5" t="s">
        <v>17</v>
      </c>
    </row>
    <row r="198" spans="1:5">
      <c r="A198" s="4">
        <v>43221</v>
      </c>
      <c r="B198" s="5">
        <v>40048984.263062999</v>
      </c>
      <c r="C198" s="5">
        <v>30824607.848963201</v>
      </c>
      <c r="D198" s="5">
        <v>49333700.406236999</v>
      </c>
      <c r="E198" s="5" t="s">
        <v>17</v>
      </c>
    </row>
    <row r="199" spans="1:5">
      <c r="A199" s="4">
        <v>43252</v>
      </c>
      <c r="B199" s="5">
        <v>34984785.249598503</v>
      </c>
      <c r="C199" s="5">
        <v>25847818.562789101</v>
      </c>
      <c r="D199" s="5">
        <v>44242209.797003403</v>
      </c>
      <c r="E199" s="5" t="s">
        <v>17</v>
      </c>
    </row>
    <row r="200" spans="1:5">
      <c r="A200" s="4">
        <v>43282</v>
      </c>
      <c r="B200" s="5">
        <v>35288741.228905797</v>
      </c>
      <c r="C200" s="5">
        <v>26166903.933632098</v>
      </c>
      <c r="D200" s="5">
        <v>44884995.364809901</v>
      </c>
      <c r="E200" s="5" t="s">
        <v>17</v>
      </c>
    </row>
    <row r="201" spans="1:5">
      <c r="A201" s="4">
        <v>43313</v>
      </c>
      <c r="B201" s="5">
        <v>45978326.038782097</v>
      </c>
      <c r="C201" s="5">
        <v>36686523.750723198</v>
      </c>
      <c r="D201" s="5">
        <v>55904263.4718775</v>
      </c>
      <c r="E201" s="5" t="s">
        <v>17</v>
      </c>
    </row>
    <row r="202" spans="1:5">
      <c r="A202" s="4">
        <v>43344</v>
      </c>
      <c r="B202" s="5">
        <v>41055715.581432901</v>
      </c>
      <c r="C202" s="5">
        <v>31901660.582963798</v>
      </c>
      <c r="D202" s="5">
        <v>50360732.042828701</v>
      </c>
      <c r="E202" s="5" t="s">
        <v>17</v>
      </c>
    </row>
    <row r="203" spans="1:5">
      <c r="A203" s="4">
        <v>43374</v>
      </c>
      <c r="B203" s="5">
        <v>35016998.143676698</v>
      </c>
      <c r="C203" s="5">
        <v>25306556.4316165</v>
      </c>
      <c r="D203" s="5">
        <v>44832030.854635201</v>
      </c>
      <c r="E203" s="5" t="s">
        <v>17</v>
      </c>
    </row>
    <row r="204" spans="1:5">
      <c r="A204" s="4">
        <v>43405</v>
      </c>
      <c r="B204" s="5">
        <v>48825086.557999603</v>
      </c>
      <c r="C204" s="5">
        <v>39743870.220713899</v>
      </c>
      <c r="D204" s="5">
        <v>57902282.1629989</v>
      </c>
      <c r="E204" s="5" t="s">
        <v>17</v>
      </c>
    </row>
    <row r="205" spans="1:5">
      <c r="A205" s="4">
        <v>43435</v>
      </c>
      <c r="B205" s="5">
        <v>31319244.537086502</v>
      </c>
      <c r="C205" s="5">
        <v>21895438.0951747</v>
      </c>
      <c r="D205" s="5">
        <v>40770479.076474197</v>
      </c>
      <c r="E205" s="5" t="s">
        <v>17</v>
      </c>
    </row>
    <row r="206" spans="1:5">
      <c r="A206" s="4">
        <v>43466</v>
      </c>
      <c r="B206" s="5">
        <v>23116092.489512999</v>
      </c>
      <c r="C206" s="5">
        <v>12798057.8037441</v>
      </c>
      <c r="D206" s="5">
        <v>32809217.157368802</v>
      </c>
      <c r="E206" s="5" t="s">
        <v>17</v>
      </c>
    </row>
    <row r="207" spans="1:5">
      <c r="A207" s="4">
        <v>43497</v>
      </c>
      <c r="B207" s="5">
        <v>33558723.602571897</v>
      </c>
      <c r="C207" s="5">
        <v>23523679.699960299</v>
      </c>
      <c r="D207" s="5">
        <v>43084905.369625904</v>
      </c>
      <c r="E207" s="5" t="s">
        <v>17</v>
      </c>
    </row>
    <row r="208" spans="1:5">
      <c r="A208" s="4">
        <v>43525</v>
      </c>
      <c r="B208" s="5">
        <v>52672933.814925499</v>
      </c>
      <c r="C208" s="5">
        <v>42899238.495264299</v>
      </c>
      <c r="D208" s="5">
        <v>61730574.707067803</v>
      </c>
      <c r="E208" s="5" t="s">
        <v>17</v>
      </c>
    </row>
    <row r="209" spans="1:5">
      <c r="A209" s="4">
        <v>43556</v>
      </c>
      <c r="B209" s="5">
        <v>27233140.986919198</v>
      </c>
      <c r="C209" s="5">
        <v>17414277.9155255</v>
      </c>
      <c r="D209" s="5">
        <v>36324812.120926298</v>
      </c>
      <c r="E209" s="5" t="s">
        <v>17</v>
      </c>
    </row>
    <row r="210" spans="1:5">
      <c r="A210" s="4">
        <v>43586</v>
      </c>
      <c r="B210" s="5">
        <v>43239775.9573128</v>
      </c>
      <c r="C210" s="5">
        <v>33672666.769122601</v>
      </c>
      <c r="D210" s="5">
        <v>52619431.341599502</v>
      </c>
      <c r="E210" s="5" t="s">
        <v>17</v>
      </c>
    </row>
    <row r="211" spans="1:5">
      <c r="A211" s="4">
        <v>43617</v>
      </c>
      <c r="B211" s="5">
        <v>33063908.7813325</v>
      </c>
      <c r="C211" s="5">
        <v>23688348.185528301</v>
      </c>
      <c r="D211" s="5">
        <v>42614073.364684999</v>
      </c>
      <c r="E211" s="5" t="s">
        <v>17</v>
      </c>
    </row>
    <row r="212" spans="1:5">
      <c r="A212" s="4">
        <v>43647</v>
      </c>
      <c r="B212" s="5">
        <v>23550824.4235107</v>
      </c>
      <c r="C212" s="5">
        <v>13909553.0584107</v>
      </c>
      <c r="D212" s="5">
        <v>33951078.765353002</v>
      </c>
      <c r="E212" s="5" t="s">
        <v>17</v>
      </c>
    </row>
    <row r="213" spans="1:5">
      <c r="A213" s="4">
        <v>43678</v>
      </c>
      <c r="B213" s="5">
        <v>52979332.435093597</v>
      </c>
      <c r="C213" s="5">
        <v>43189101.487859398</v>
      </c>
      <c r="D213" s="5">
        <v>62050663.6955368</v>
      </c>
      <c r="E213" s="5" t="s">
        <v>17</v>
      </c>
    </row>
    <row r="214" spans="1:5">
      <c r="A214" s="4">
        <v>43709</v>
      </c>
      <c r="B214" s="5">
        <v>45336440.257622197</v>
      </c>
      <c r="C214" s="5">
        <v>36030403.328159101</v>
      </c>
      <c r="D214" s="5">
        <v>54212390.447255403</v>
      </c>
      <c r="E214" s="5" t="s">
        <v>17</v>
      </c>
    </row>
    <row r="215" spans="1:5">
      <c r="A215" s="4">
        <v>43739</v>
      </c>
      <c r="B215" s="5">
        <v>34191377.4928516</v>
      </c>
      <c r="C215" s="5">
        <v>24389653.8011523</v>
      </c>
      <c r="D215" s="5">
        <v>43094472.829255</v>
      </c>
      <c r="E215" s="5" t="s">
        <v>17</v>
      </c>
    </row>
    <row r="216" spans="1:5">
      <c r="A216" s="4">
        <v>43770</v>
      </c>
      <c r="B216" s="5">
        <v>52318701.612268299</v>
      </c>
      <c r="C216" s="5">
        <v>42613711.3788331</v>
      </c>
      <c r="D216" s="5">
        <v>61666521.903130896</v>
      </c>
      <c r="E216" s="5" t="s">
        <v>17</v>
      </c>
    </row>
    <row r="217" spans="1:5">
      <c r="A217" s="4">
        <v>43800</v>
      </c>
      <c r="B217" s="5">
        <v>25297358.512475301</v>
      </c>
      <c r="C217" s="5">
        <v>16226407.745035401</v>
      </c>
      <c r="D217" s="5">
        <v>34565835.114766702</v>
      </c>
      <c r="E217" s="5" t="s">
        <v>17</v>
      </c>
    </row>
    <row r="218" spans="1:5">
      <c r="A218" s="4">
        <v>43831</v>
      </c>
      <c r="B218" s="5">
        <v>22742909.169982702</v>
      </c>
      <c r="C218" s="5">
        <v>12808770.5272319</v>
      </c>
      <c r="D218" s="5">
        <v>32558222.911811199</v>
      </c>
      <c r="E218" s="5" t="s">
        <v>17</v>
      </c>
    </row>
    <row r="219" spans="1:5">
      <c r="A219" s="4">
        <v>43862</v>
      </c>
      <c r="B219" s="5">
        <v>30321805.593745802</v>
      </c>
      <c r="C219" s="5">
        <v>20996501.652208898</v>
      </c>
      <c r="D219" s="5">
        <v>39581309.9095717</v>
      </c>
      <c r="E219" s="5" t="s">
        <v>17</v>
      </c>
    </row>
    <row r="220" spans="1:5">
      <c r="A220" s="4">
        <v>43891</v>
      </c>
      <c r="B220" s="5">
        <v>36407521.724915899</v>
      </c>
      <c r="C220" s="5">
        <v>27123035.5162303</v>
      </c>
      <c r="D220" s="5">
        <v>46592700.445826799</v>
      </c>
      <c r="E220" s="5" t="s">
        <v>17</v>
      </c>
    </row>
    <row r="221" spans="1:5">
      <c r="A221" s="4">
        <v>43922</v>
      </c>
      <c r="B221" s="5">
        <v>26323461.7710764</v>
      </c>
      <c r="C221" s="5">
        <v>17404430.166407399</v>
      </c>
      <c r="D221" s="5">
        <v>36110484.406151302</v>
      </c>
      <c r="E221" s="5" t="s">
        <v>17</v>
      </c>
    </row>
    <row r="222" spans="1:5">
      <c r="A222" s="4">
        <v>43952</v>
      </c>
      <c r="B222" s="5">
        <v>33274950.2966545</v>
      </c>
      <c r="C222" s="5">
        <v>24513178.259363402</v>
      </c>
      <c r="D222" s="5">
        <v>42302864.290194899</v>
      </c>
      <c r="E222" s="5" t="s">
        <v>17</v>
      </c>
    </row>
    <row r="223" spans="1:5">
      <c r="A223" s="4">
        <v>43983</v>
      </c>
      <c r="B223" s="5">
        <v>38186455.337781303</v>
      </c>
      <c r="C223" s="5">
        <v>27962019.783657301</v>
      </c>
      <c r="D223" s="5">
        <v>47887684.566293903</v>
      </c>
      <c r="E223" s="5" t="s">
        <v>17</v>
      </c>
    </row>
    <row r="224" spans="1:5">
      <c r="A224" s="4">
        <v>44013</v>
      </c>
      <c r="B224" s="5">
        <v>59131065.732500203</v>
      </c>
      <c r="C224" s="5">
        <v>49093520.009467199</v>
      </c>
      <c r="D224" s="5">
        <v>68596345.747898698</v>
      </c>
      <c r="E224" s="5" t="s">
        <v>17</v>
      </c>
    </row>
    <row r="225" spans="1:5">
      <c r="A225" s="4">
        <v>44044</v>
      </c>
      <c r="B225" s="5">
        <v>32653551.3232476</v>
      </c>
      <c r="C225" s="5">
        <v>22943077.075346801</v>
      </c>
      <c r="D225" s="5">
        <v>41640706.017867602</v>
      </c>
      <c r="E225" s="5" t="s">
        <v>17</v>
      </c>
    </row>
    <row r="226" spans="1:5">
      <c r="A226" s="4">
        <v>44075</v>
      </c>
      <c r="B226" s="5">
        <v>32351622.943481699</v>
      </c>
      <c r="C226" s="5">
        <v>22939339.696588799</v>
      </c>
      <c r="D226" s="5">
        <v>42267827.007647999</v>
      </c>
      <c r="E226" s="5" t="s">
        <v>17</v>
      </c>
    </row>
    <row r="227" spans="1:5">
      <c r="A227" s="4">
        <v>44105</v>
      </c>
      <c r="B227" s="5">
        <v>36448929.677453198</v>
      </c>
      <c r="C227" s="5">
        <v>27834933.242614001</v>
      </c>
      <c r="D227" s="5">
        <v>45990769.908437401</v>
      </c>
      <c r="E227" s="5" t="s">
        <v>17</v>
      </c>
    </row>
    <row r="228" spans="1:5">
      <c r="A228" s="4">
        <v>44136</v>
      </c>
      <c r="B228" s="5">
        <v>41413249.158618197</v>
      </c>
      <c r="C228" s="5">
        <v>31823809.9096523</v>
      </c>
      <c r="D228" s="5">
        <v>50880442.279854797</v>
      </c>
      <c r="E228" s="5" t="s">
        <v>17</v>
      </c>
    </row>
    <row r="229" spans="1:5">
      <c r="A229" s="4">
        <v>44166</v>
      </c>
      <c r="B229" s="5">
        <v>43110159.173822701</v>
      </c>
      <c r="C229" s="5">
        <v>32931402.460820299</v>
      </c>
      <c r="D229" s="5">
        <v>53056487.460664503</v>
      </c>
      <c r="E229" s="5" t="s">
        <v>17</v>
      </c>
    </row>
    <row r="230" spans="1:5">
      <c r="A230" s="4">
        <v>44197</v>
      </c>
      <c r="B230" s="5">
        <v>23989197.8339299</v>
      </c>
      <c r="C230" s="5">
        <v>14159024.201926401</v>
      </c>
      <c r="D230" s="5">
        <v>33007901.560391001</v>
      </c>
      <c r="E230" s="5" t="s">
        <v>17</v>
      </c>
    </row>
    <row r="231" spans="1:5">
      <c r="A231" s="4">
        <v>44228</v>
      </c>
      <c r="B231" s="5">
        <v>40296444.898865499</v>
      </c>
      <c r="C231" s="5">
        <v>30957088.7522237</v>
      </c>
      <c r="D231" s="5">
        <v>49683751.666122802</v>
      </c>
      <c r="E231" s="5" t="s">
        <v>17</v>
      </c>
    </row>
    <row r="232" spans="1:5">
      <c r="A232" s="4">
        <v>44256</v>
      </c>
      <c r="B232" s="5">
        <v>41758418.081470497</v>
      </c>
      <c r="C232" s="5">
        <v>32587411.789168298</v>
      </c>
      <c r="D232" s="5">
        <v>51173524.328534499</v>
      </c>
      <c r="E232" s="5" t="s">
        <v>17</v>
      </c>
    </row>
    <row r="233" spans="1:5">
      <c r="A233" s="4">
        <v>44287</v>
      </c>
      <c r="B233" s="5">
        <v>26649701.263666499</v>
      </c>
      <c r="C233" s="5">
        <v>17530936.687214099</v>
      </c>
      <c r="D233" s="5">
        <v>35986818.528268397</v>
      </c>
      <c r="E233" s="5" t="s">
        <v>17</v>
      </c>
    </row>
    <row r="234" spans="1:5">
      <c r="A234" s="4">
        <v>44317</v>
      </c>
      <c r="B234" s="5">
        <v>36686036.640212998</v>
      </c>
      <c r="C234" s="5">
        <v>27528666.065722</v>
      </c>
      <c r="D234" s="5">
        <v>46275377.115729302</v>
      </c>
      <c r="E234" s="5" t="s">
        <v>17</v>
      </c>
    </row>
    <row r="235" spans="1:5">
      <c r="A235" s="4">
        <v>44348</v>
      </c>
      <c r="B235" s="5">
        <v>36656207.155290402</v>
      </c>
      <c r="C235" s="5">
        <v>27718903.493911602</v>
      </c>
      <c r="D235" s="5">
        <v>45761309.333599202</v>
      </c>
      <c r="E235" s="5" t="s">
        <v>17</v>
      </c>
    </row>
    <row r="236" spans="1:5">
      <c r="A236" s="4">
        <v>44378</v>
      </c>
      <c r="B236" s="5">
        <v>47109864.464448899</v>
      </c>
      <c r="C236" s="5">
        <v>37931738.164835602</v>
      </c>
      <c r="D236" s="5">
        <v>57373665.336497001</v>
      </c>
      <c r="E236" s="5" t="s">
        <v>17</v>
      </c>
    </row>
    <row r="237" spans="1:5">
      <c r="A237" s="4">
        <v>44409</v>
      </c>
      <c r="B237" s="5">
        <v>39156575.7254351</v>
      </c>
      <c r="C237" s="5">
        <v>29557143.480190199</v>
      </c>
      <c r="D237" s="5">
        <v>48314092.847161502</v>
      </c>
      <c r="E237" s="5" t="s">
        <v>17</v>
      </c>
    </row>
    <row r="238" spans="1:5">
      <c r="A238" s="4">
        <v>44440</v>
      </c>
      <c r="B238" s="5">
        <v>36684366.995820701</v>
      </c>
      <c r="C238" s="5">
        <v>27029637.758141901</v>
      </c>
      <c r="D238" s="5">
        <v>45930012.273681298</v>
      </c>
      <c r="E238" s="5" t="s">
        <v>17</v>
      </c>
    </row>
    <row r="239" spans="1:5">
      <c r="A239" s="4">
        <v>44470</v>
      </c>
      <c r="B239" s="5">
        <v>35731851.353519201</v>
      </c>
      <c r="C239" s="5">
        <v>26376345.502968699</v>
      </c>
      <c r="D239" s="5">
        <v>45013008.146446101</v>
      </c>
      <c r="E239" s="5" t="s">
        <v>17</v>
      </c>
    </row>
    <row r="240" spans="1:5">
      <c r="A240" s="4">
        <v>44501</v>
      </c>
      <c r="B240" s="5">
        <v>45139766.904920697</v>
      </c>
      <c r="C240" s="5">
        <v>35693044.783799</v>
      </c>
      <c r="D240" s="5">
        <v>54016446.384229198</v>
      </c>
      <c r="E240" s="5" t="s">
        <v>17</v>
      </c>
    </row>
    <row r="241" spans="1:5">
      <c r="A241" s="4">
        <v>44531</v>
      </c>
      <c r="B241" s="5">
        <v>37223159.725619197</v>
      </c>
      <c r="C241" s="5">
        <v>27763242.4549671</v>
      </c>
      <c r="D241" s="5">
        <v>46983010.2113778</v>
      </c>
      <c r="E241" s="5" t="s">
        <v>17</v>
      </c>
    </row>
    <row r="242" spans="1:5">
      <c r="A242" s="4">
        <v>42736</v>
      </c>
      <c r="B242" s="5">
        <v>29965281.204640299</v>
      </c>
      <c r="C242" s="5">
        <v>21428240.9770853</v>
      </c>
      <c r="D242" s="5">
        <v>38723729.914386399</v>
      </c>
      <c r="E242" s="5" t="s">
        <v>18</v>
      </c>
    </row>
    <row r="243" spans="1:5">
      <c r="A243" s="4">
        <v>42767</v>
      </c>
      <c r="B243" s="5">
        <v>42911897.730967999</v>
      </c>
      <c r="C243" s="5">
        <v>33687987.609741203</v>
      </c>
      <c r="D243" s="5">
        <v>51524027.573614202</v>
      </c>
      <c r="E243" s="5" t="s">
        <v>18</v>
      </c>
    </row>
    <row r="244" spans="1:5">
      <c r="A244" s="4">
        <v>42795</v>
      </c>
      <c r="B244" s="5">
        <v>48858918.834629603</v>
      </c>
      <c r="C244" s="5">
        <v>40654804.071406603</v>
      </c>
      <c r="D244" s="5">
        <v>57706709.302324504</v>
      </c>
      <c r="E244" s="5" t="s">
        <v>18</v>
      </c>
    </row>
    <row r="245" spans="1:5">
      <c r="A245" s="4">
        <v>42826</v>
      </c>
      <c r="B245" s="5">
        <v>36235713.160780102</v>
      </c>
      <c r="C245" s="5">
        <v>27987049.456096198</v>
      </c>
      <c r="D245" s="5">
        <v>45103696.5794864</v>
      </c>
      <c r="E245" s="5" t="s">
        <v>18</v>
      </c>
    </row>
    <row r="246" spans="1:5">
      <c r="A246" s="4">
        <v>42856</v>
      </c>
      <c r="B246" s="5">
        <v>39875692.877571799</v>
      </c>
      <c r="C246" s="5">
        <v>31247889.860190298</v>
      </c>
      <c r="D246" s="5">
        <v>48574173.396795399</v>
      </c>
      <c r="E246" s="5" t="s">
        <v>18</v>
      </c>
    </row>
    <row r="247" spans="1:5">
      <c r="A247" s="4">
        <v>42887</v>
      </c>
      <c r="B247" s="5">
        <v>44195308.2229902</v>
      </c>
      <c r="C247" s="5">
        <v>35454917.829066798</v>
      </c>
      <c r="D247" s="5">
        <v>52596267.783666201</v>
      </c>
      <c r="E247" s="5" t="s">
        <v>18</v>
      </c>
    </row>
    <row r="248" spans="1:5">
      <c r="A248" s="4">
        <v>42917</v>
      </c>
      <c r="B248" s="5">
        <v>54967642.584539898</v>
      </c>
      <c r="C248" s="5">
        <v>45999539.905792899</v>
      </c>
      <c r="D248" s="5">
        <v>63557173.390413798</v>
      </c>
      <c r="E248" s="5" t="s">
        <v>18</v>
      </c>
    </row>
    <row r="249" spans="1:5">
      <c r="A249" s="4">
        <v>42948</v>
      </c>
      <c r="B249" s="5">
        <v>43480809.264513202</v>
      </c>
      <c r="C249" s="5">
        <v>34272705.598584898</v>
      </c>
      <c r="D249" s="5">
        <v>52036341.911009997</v>
      </c>
      <c r="E249" s="5" t="s">
        <v>18</v>
      </c>
    </row>
    <row r="250" spans="1:5">
      <c r="A250" s="4">
        <v>42979</v>
      </c>
      <c r="B250" s="5">
        <v>56889373.149616003</v>
      </c>
      <c r="C250" s="5">
        <v>47996813.1474915</v>
      </c>
      <c r="D250" s="5">
        <v>65488855.595161699</v>
      </c>
      <c r="E250" s="5" t="s">
        <v>18</v>
      </c>
    </row>
    <row r="251" spans="1:5">
      <c r="A251" s="4">
        <v>43009</v>
      </c>
      <c r="B251" s="5">
        <v>37440129.5153341</v>
      </c>
      <c r="C251" s="5">
        <v>29418358.0022486</v>
      </c>
      <c r="D251" s="5">
        <v>45628675.713972501</v>
      </c>
      <c r="E251" s="5" t="s">
        <v>18</v>
      </c>
    </row>
    <row r="252" spans="1:5">
      <c r="A252" s="4">
        <v>43040</v>
      </c>
      <c r="B252" s="5">
        <v>49673703.3096499</v>
      </c>
      <c r="C252" s="5">
        <v>41642281.943906799</v>
      </c>
      <c r="D252" s="5">
        <v>57794241.354984403</v>
      </c>
      <c r="E252" s="5" t="s">
        <v>18</v>
      </c>
    </row>
    <row r="253" spans="1:5">
      <c r="A253" s="4">
        <v>43070</v>
      </c>
      <c r="B253" s="5">
        <v>49173575.752870902</v>
      </c>
      <c r="C253" s="5">
        <v>40342713.174066998</v>
      </c>
      <c r="D253" s="5">
        <v>57875344.783014901</v>
      </c>
      <c r="E253" s="5" t="s">
        <v>18</v>
      </c>
    </row>
    <row r="254" spans="1:5">
      <c r="A254" s="4">
        <v>43101</v>
      </c>
      <c r="B254" s="5">
        <v>30436560.549757998</v>
      </c>
      <c r="C254" s="5">
        <v>21405542.8032616</v>
      </c>
      <c r="D254" s="5">
        <v>39357966.312763602</v>
      </c>
      <c r="E254" s="5" t="s">
        <v>18</v>
      </c>
    </row>
    <row r="255" spans="1:5">
      <c r="A255" s="4">
        <v>43132</v>
      </c>
      <c r="B255" s="5">
        <v>43991111.994330898</v>
      </c>
      <c r="C255" s="5">
        <v>35003333.155547097</v>
      </c>
      <c r="D255" s="5">
        <v>52621030.237131402</v>
      </c>
      <c r="E255" s="5" t="s">
        <v>18</v>
      </c>
    </row>
    <row r="256" spans="1:5">
      <c r="A256" s="4">
        <v>43160</v>
      </c>
      <c r="B256" s="5">
        <v>48169294.372524701</v>
      </c>
      <c r="C256" s="5">
        <v>39905398.331955902</v>
      </c>
      <c r="D256" s="5">
        <v>56732698.171138696</v>
      </c>
      <c r="E256" s="5" t="s">
        <v>18</v>
      </c>
    </row>
    <row r="257" spans="1:5">
      <c r="A257" s="4">
        <v>43191</v>
      </c>
      <c r="B257" s="5">
        <v>42333349.146865197</v>
      </c>
      <c r="C257" s="5">
        <v>33577259.172075003</v>
      </c>
      <c r="D257" s="5">
        <v>50419659.331988901</v>
      </c>
      <c r="E257" s="5" t="s">
        <v>18</v>
      </c>
    </row>
    <row r="258" spans="1:5">
      <c r="A258" s="4">
        <v>43221</v>
      </c>
      <c r="B258" s="5">
        <v>32907317.3598736</v>
      </c>
      <c r="C258" s="5">
        <v>24531706.968310799</v>
      </c>
      <c r="D258" s="5">
        <v>41491965.1324201</v>
      </c>
      <c r="E258" s="5" t="s">
        <v>18</v>
      </c>
    </row>
    <row r="259" spans="1:5">
      <c r="A259" s="4">
        <v>43252</v>
      </c>
      <c r="B259" s="5">
        <v>43378825.816114902</v>
      </c>
      <c r="C259" s="5">
        <v>34619551.9276575</v>
      </c>
      <c r="D259" s="5">
        <v>52477918.997457102</v>
      </c>
      <c r="E259" s="5" t="s">
        <v>18</v>
      </c>
    </row>
    <row r="260" spans="1:5">
      <c r="A260" s="4">
        <v>43282</v>
      </c>
      <c r="B260" s="5">
        <v>48393029.8794121</v>
      </c>
      <c r="C260" s="5">
        <v>40170625.270332702</v>
      </c>
      <c r="D260" s="5">
        <v>56550805.312609501</v>
      </c>
      <c r="E260" s="5" t="s">
        <v>18</v>
      </c>
    </row>
    <row r="261" spans="1:5">
      <c r="A261" s="4">
        <v>43313</v>
      </c>
      <c r="B261" s="5">
        <v>51091874.116066702</v>
      </c>
      <c r="C261" s="5">
        <v>41839611.539855704</v>
      </c>
      <c r="D261" s="5">
        <v>59203774.3228328</v>
      </c>
      <c r="E261" s="5" t="s">
        <v>18</v>
      </c>
    </row>
    <row r="262" spans="1:5">
      <c r="A262" s="4">
        <v>43344</v>
      </c>
      <c r="B262" s="5">
        <v>55748689.067435198</v>
      </c>
      <c r="C262" s="5">
        <v>47501358.386987701</v>
      </c>
      <c r="D262" s="5">
        <v>64067862.290871397</v>
      </c>
      <c r="E262" s="5" t="s">
        <v>18</v>
      </c>
    </row>
    <row r="263" spans="1:5">
      <c r="A263" s="4">
        <v>43374</v>
      </c>
      <c r="B263" s="5">
        <v>39367350.8193639</v>
      </c>
      <c r="C263" s="5">
        <v>30236156.763722301</v>
      </c>
      <c r="D263" s="5">
        <v>47938835.297936901</v>
      </c>
      <c r="E263" s="5" t="s">
        <v>18</v>
      </c>
    </row>
    <row r="264" spans="1:5">
      <c r="A264" s="4">
        <v>43405</v>
      </c>
      <c r="B264" s="5">
        <v>48346935.865987003</v>
      </c>
      <c r="C264" s="5">
        <v>39983805.367250703</v>
      </c>
      <c r="D264" s="5">
        <v>57051134.162381902</v>
      </c>
      <c r="E264" s="5" t="s">
        <v>18</v>
      </c>
    </row>
    <row r="265" spans="1:5">
      <c r="A265" s="4">
        <v>43435</v>
      </c>
      <c r="B265" s="5">
        <v>42673196.409235097</v>
      </c>
      <c r="C265" s="5">
        <v>33959681.749062598</v>
      </c>
      <c r="D265" s="5">
        <v>51665244.250100702</v>
      </c>
      <c r="E265" s="5" t="s">
        <v>18</v>
      </c>
    </row>
    <row r="266" spans="1:5">
      <c r="A266" s="4">
        <v>43466</v>
      </c>
      <c r="B266" s="5">
        <v>31016922.470175799</v>
      </c>
      <c r="C266" s="5">
        <v>22882484.639839102</v>
      </c>
      <c r="D266" s="5">
        <v>39992542.488279</v>
      </c>
      <c r="E266" s="5" t="s">
        <v>18</v>
      </c>
    </row>
    <row r="267" spans="1:5">
      <c r="A267" s="4">
        <v>43497</v>
      </c>
      <c r="B267" s="5">
        <v>45072967.325839996</v>
      </c>
      <c r="C267" s="5">
        <v>36915018.906250097</v>
      </c>
      <c r="D267" s="5">
        <v>53621640.095082</v>
      </c>
      <c r="E267" s="5" t="s">
        <v>18</v>
      </c>
    </row>
    <row r="268" spans="1:5">
      <c r="A268" s="4">
        <v>43525</v>
      </c>
      <c r="B268" s="5">
        <v>47509883.003623597</v>
      </c>
      <c r="C268" s="5">
        <v>39341287.943830699</v>
      </c>
      <c r="D268" s="5">
        <v>56119640.700095899</v>
      </c>
      <c r="E268" s="5" t="s">
        <v>18</v>
      </c>
    </row>
    <row r="269" spans="1:5">
      <c r="A269" s="4">
        <v>43556</v>
      </c>
      <c r="B269" s="5">
        <v>48159250.336732201</v>
      </c>
      <c r="C269" s="5">
        <v>39500240.818385199</v>
      </c>
      <c r="D269" s="5">
        <v>56593445.373480402</v>
      </c>
      <c r="E269" s="5" t="s">
        <v>18</v>
      </c>
    </row>
    <row r="270" spans="1:5">
      <c r="A270" s="4">
        <v>43586</v>
      </c>
      <c r="B270" s="5">
        <v>25992920.933274399</v>
      </c>
      <c r="C270" s="5">
        <v>16789736.802544799</v>
      </c>
      <c r="D270" s="5">
        <v>34087270.892935596</v>
      </c>
      <c r="E270" s="5" t="s">
        <v>18</v>
      </c>
    </row>
    <row r="271" spans="1:5">
      <c r="A271" s="4">
        <v>43617</v>
      </c>
      <c r="B271" s="5">
        <v>42583821.200782597</v>
      </c>
      <c r="C271" s="5">
        <v>34418443.119085498</v>
      </c>
      <c r="D271" s="5">
        <v>51168417.8650029</v>
      </c>
      <c r="E271" s="5" t="s">
        <v>18</v>
      </c>
    </row>
    <row r="272" spans="1:5">
      <c r="A272" s="4">
        <v>43647</v>
      </c>
      <c r="B272" s="5">
        <v>42116635.409127802</v>
      </c>
      <c r="C272" s="5">
        <v>33432469.1827926</v>
      </c>
      <c r="D272" s="5">
        <v>51149560.254240602</v>
      </c>
      <c r="E272" s="5" t="s">
        <v>18</v>
      </c>
    </row>
    <row r="273" spans="1:5">
      <c r="A273" s="4">
        <v>43678</v>
      </c>
      <c r="B273" s="5">
        <v>58599403.743032299</v>
      </c>
      <c r="C273" s="5">
        <v>50252385.050697103</v>
      </c>
      <c r="D273" s="5">
        <v>66820884.675079301</v>
      </c>
      <c r="E273" s="5" t="s">
        <v>18</v>
      </c>
    </row>
    <row r="274" spans="1:5">
      <c r="A274" s="4">
        <v>43709</v>
      </c>
      <c r="B274" s="5">
        <v>54554614.6966355</v>
      </c>
      <c r="C274" s="5">
        <v>45885959.615414202</v>
      </c>
      <c r="D274" s="5">
        <v>63129793.977066897</v>
      </c>
      <c r="E274" s="5" t="s">
        <v>18</v>
      </c>
    </row>
    <row r="275" spans="1:5">
      <c r="A275" s="4">
        <v>43739</v>
      </c>
      <c r="B275" s="5">
        <v>41172400.627456799</v>
      </c>
      <c r="C275" s="5">
        <v>32839491.619693499</v>
      </c>
      <c r="D275" s="5">
        <v>49067316.723228998</v>
      </c>
      <c r="E275" s="5" t="s">
        <v>18</v>
      </c>
    </row>
    <row r="276" spans="1:5">
      <c r="A276" s="4">
        <v>43770</v>
      </c>
      <c r="B276" s="5">
        <v>46911409.188453197</v>
      </c>
      <c r="C276" s="5">
        <v>38568451.914509602</v>
      </c>
      <c r="D276" s="5">
        <v>55992394.055414103</v>
      </c>
      <c r="E276" s="5" t="s">
        <v>18</v>
      </c>
    </row>
    <row r="277" spans="1:5">
      <c r="A277" s="4">
        <v>43800</v>
      </c>
      <c r="B277" s="5">
        <v>36351447.386535503</v>
      </c>
      <c r="C277" s="5">
        <v>28412149.366537798</v>
      </c>
      <c r="D277" s="5">
        <v>45062954.2595907</v>
      </c>
      <c r="E277" s="5" t="s">
        <v>18</v>
      </c>
    </row>
    <row r="278" spans="1:5">
      <c r="A278" s="4">
        <v>43831</v>
      </c>
      <c r="B278" s="5">
        <v>31701768.4160221</v>
      </c>
      <c r="C278" s="5">
        <v>23255811.554554101</v>
      </c>
      <c r="D278" s="5">
        <v>40553036.903830297</v>
      </c>
      <c r="E278" s="5" t="s">
        <v>18</v>
      </c>
    </row>
    <row r="279" spans="1:5">
      <c r="A279" s="4">
        <v>43862</v>
      </c>
      <c r="B279" s="5">
        <v>46153626.4770215</v>
      </c>
      <c r="C279" s="5">
        <v>38132107.2659835</v>
      </c>
      <c r="D279" s="5">
        <v>54675451.554334603</v>
      </c>
      <c r="E279" s="5" t="s">
        <v>18</v>
      </c>
    </row>
    <row r="280" spans="1:5">
      <c r="A280" s="4">
        <v>43891</v>
      </c>
      <c r="B280" s="5">
        <v>47173755.476319097</v>
      </c>
      <c r="C280" s="5">
        <v>38890204.333843201</v>
      </c>
      <c r="D280" s="5">
        <v>55647162.357845701</v>
      </c>
      <c r="E280" s="5" t="s">
        <v>18</v>
      </c>
    </row>
    <row r="281" spans="1:5">
      <c r="A281" s="4">
        <v>43922</v>
      </c>
      <c r="B281" s="5">
        <v>28416100.828327201</v>
      </c>
      <c r="C281" s="5">
        <v>19666401.370820299</v>
      </c>
      <c r="D281" s="5">
        <v>36561681.282707997</v>
      </c>
      <c r="E281" s="5" t="s">
        <v>18</v>
      </c>
    </row>
    <row r="282" spans="1:5">
      <c r="A282" s="4">
        <v>43952</v>
      </c>
      <c r="B282" s="5">
        <v>44605178.830306999</v>
      </c>
      <c r="C282" s="5">
        <v>35960198.166273601</v>
      </c>
      <c r="D282" s="5">
        <v>52752327.938479498</v>
      </c>
      <c r="E282" s="5" t="s">
        <v>18</v>
      </c>
    </row>
    <row r="283" spans="1:5">
      <c r="A283" s="4">
        <v>43983</v>
      </c>
      <c r="B283" s="5">
        <v>42835839.380747803</v>
      </c>
      <c r="C283" s="5">
        <v>34414594.211003996</v>
      </c>
      <c r="D283" s="5">
        <v>51253465.011007197</v>
      </c>
      <c r="E283" s="5" t="s">
        <v>18</v>
      </c>
    </row>
    <row r="284" spans="1:5">
      <c r="A284" s="4">
        <v>44013</v>
      </c>
      <c r="B284" s="5">
        <v>58825008.343329497</v>
      </c>
      <c r="C284" s="5">
        <v>49997083.074926399</v>
      </c>
      <c r="D284" s="5">
        <v>67082565.757180303</v>
      </c>
      <c r="E284" s="5" t="s">
        <v>18</v>
      </c>
    </row>
    <row r="285" spans="1:5">
      <c r="A285" s="4">
        <v>44044</v>
      </c>
      <c r="B285" s="5">
        <v>34031339.309505902</v>
      </c>
      <c r="C285" s="5">
        <v>25640202.897638202</v>
      </c>
      <c r="D285" s="5">
        <v>43250938.155466802</v>
      </c>
      <c r="E285" s="5" t="s">
        <v>18</v>
      </c>
    </row>
    <row r="286" spans="1:5">
      <c r="A286" s="4">
        <v>44075</v>
      </c>
      <c r="B286" s="5">
        <v>55143286.680903502</v>
      </c>
      <c r="C286" s="5">
        <v>46763960.512228899</v>
      </c>
      <c r="D286" s="5">
        <v>63482182.140031599</v>
      </c>
      <c r="E286" s="5" t="s">
        <v>18</v>
      </c>
    </row>
    <row r="287" spans="1:5">
      <c r="A287" s="4">
        <v>44105</v>
      </c>
      <c r="B287" s="5">
        <v>33659473.579249598</v>
      </c>
      <c r="C287" s="5">
        <v>25459863.757440899</v>
      </c>
      <c r="D287" s="5">
        <v>42187055.0316175</v>
      </c>
      <c r="E287" s="5" t="s">
        <v>18</v>
      </c>
    </row>
    <row r="288" spans="1:5">
      <c r="A288" s="4">
        <v>44136</v>
      </c>
      <c r="B288" s="5">
        <v>48392887.379107401</v>
      </c>
      <c r="C288" s="5">
        <v>39656423.0581242</v>
      </c>
      <c r="D288" s="5">
        <v>56939036.8947336</v>
      </c>
      <c r="E288" s="5" t="s">
        <v>18</v>
      </c>
    </row>
    <row r="289" spans="1:5">
      <c r="A289" s="4">
        <v>44166</v>
      </c>
      <c r="B289" s="5">
        <v>53108481.143836498</v>
      </c>
      <c r="C289" s="5">
        <v>44142842.9298978</v>
      </c>
      <c r="D289" s="5">
        <v>61251371.038929597</v>
      </c>
      <c r="E289" s="5" t="s">
        <v>18</v>
      </c>
    </row>
    <row r="290" spans="1:5">
      <c r="A290" s="4">
        <v>44197</v>
      </c>
      <c r="B290" s="5">
        <v>28494718.236972399</v>
      </c>
      <c r="C290" s="5">
        <v>20176200.293683801</v>
      </c>
      <c r="D290" s="5">
        <v>36457711.702085197</v>
      </c>
      <c r="E290" s="5" t="s">
        <v>18</v>
      </c>
    </row>
    <row r="291" spans="1:5">
      <c r="A291" s="4">
        <v>44228</v>
      </c>
      <c r="B291" s="5">
        <v>40803777.111834399</v>
      </c>
      <c r="C291" s="5">
        <v>32256050.4918194</v>
      </c>
      <c r="D291" s="5">
        <v>49727590.616255201</v>
      </c>
      <c r="E291" s="5" t="s">
        <v>18</v>
      </c>
    </row>
    <row r="292" spans="1:5">
      <c r="A292" s="4">
        <v>44256</v>
      </c>
      <c r="B292" s="5">
        <v>46456378.579427399</v>
      </c>
      <c r="C292" s="5">
        <v>38057446.124382898</v>
      </c>
      <c r="D292" s="5">
        <v>54552823.231807597</v>
      </c>
      <c r="E292" s="5" t="s">
        <v>18</v>
      </c>
    </row>
    <row r="293" spans="1:5">
      <c r="A293" s="4">
        <v>44287</v>
      </c>
      <c r="B293" s="5">
        <v>34452032.925482802</v>
      </c>
      <c r="C293" s="5">
        <v>25553968.4526552</v>
      </c>
      <c r="D293" s="5">
        <v>43264297.196495898</v>
      </c>
      <c r="E293" s="5" t="s">
        <v>18</v>
      </c>
    </row>
    <row r="294" spans="1:5">
      <c r="A294" s="4">
        <v>44317</v>
      </c>
      <c r="B294" s="5">
        <v>37910850.928070001</v>
      </c>
      <c r="C294" s="5">
        <v>29640036.330975398</v>
      </c>
      <c r="D294" s="5">
        <v>46987146.734621398</v>
      </c>
      <c r="E294" s="5" t="s">
        <v>18</v>
      </c>
    </row>
    <row r="295" spans="1:5">
      <c r="A295" s="4">
        <v>44348</v>
      </c>
      <c r="B295" s="5">
        <v>42015341.592527002</v>
      </c>
      <c r="C295" s="5">
        <v>32973261.978314299</v>
      </c>
      <c r="D295" s="5">
        <v>51121732.2856538</v>
      </c>
      <c r="E295" s="5" t="s">
        <v>18</v>
      </c>
    </row>
    <row r="296" spans="1:5">
      <c r="A296" s="4">
        <v>44378</v>
      </c>
      <c r="B296" s="5">
        <v>52253573.5645454</v>
      </c>
      <c r="C296" s="5">
        <v>44295775.605158098</v>
      </c>
      <c r="D296" s="5">
        <v>60358416.956115998</v>
      </c>
      <c r="E296" s="5" t="s">
        <v>18</v>
      </c>
    </row>
    <row r="297" spans="1:5">
      <c r="A297" s="4">
        <v>44409</v>
      </c>
      <c r="B297" s="5">
        <v>41331659.7446118</v>
      </c>
      <c r="C297" s="5">
        <v>32636547.0001023</v>
      </c>
      <c r="D297" s="5">
        <v>49733127.848787203</v>
      </c>
      <c r="E297" s="5" t="s">
        <v>18</v>
      </c>
    </row>
    <row r="298" spans="1:5">
      <c r="A298" s="4">
        <v>44440</v>
      </c>
      <c r="B298" s="5">
        <v>54074519.141837798</v>
      </c>
      <c r="C298" s="5">
        <v>45532181.018379897</v>
      </c>
      <c r="D298" s="5">
        <v>63337332.988236398</v>
      </c>
      <c r="E298" s="5" t="s">
        <v>18</v>
      </c>
    </row>
    <row r="299" spans="1:5">
      <c r="A299" s="4">
        <v>44470</v>
      </c>
      <c r="B299" s="5">
        <v>35585729.003094099</v>
      </c>
      <c r="C299" s="5">
        <v>27457941.931988701</v>
      </c>
      <c r="D299" s="5">
        <v>43731714.284045301</v>
      </c>
      <c r="E299" s="5" t="s">
        <v>18</v>
      </c>
    </row>
    <row r="300" spans="1:5">
      <c r="A300" s="4">
        <v>44501</v>
      </c>
      <c r="B300" s="5">
        <v>47210788.487940297</v>
      </c>
      <c r="C300" s="5">
        <v>39010131.804029398</v>
      </c>
      <c r="D300" s="5">
        <v>56488237.343558297</v>
      </c>
      <c r="E300" s="5" t="s">
        <v>18</v>
      </c>
    </row>
    <row r="301" spans="1:5">
      <c r="A301" s="4">
        <v>44531</v>
      </c>
      <c r="B301" s="5">
        <v>46732973.391429402</v>
      </c>
      <c r="C301" s="5">
        <v>38292241.688962303</v>
      </c>
      <c r="D301" s="5">
        <v>54899133.948827803</v>
      </c>
      <c r="E301" s="5" t="s">
        <v>18</v>
      </c>
    </row>
    <row r="302" spans="1:5">
      <c r="A302" s="4">
        <v>42736</v>
      </c>
      <c r="B302" s="5">
        <v>27767028.465365302</v>
      </c>
      <c r="C302" s="5">
        <v>18016225.394882601</v>
      </c>
      <c r="D302" s="5">
        <v>37766642.556632496</v>
      </c>
      <c r="E302" s="5" t="s">
        <v>19</v>
      </c>
    </row>
    <row r="303" spans="1:5">
      <c r="A303" s="4">
        <v>42767</v>
      </c>
      <c r="B303" s="5">
        <v>40786008.455743201</v>
      </c>
      <c r="C303" s="5">
        <v>30339730.503753699</v>
      </c>
      <c r="D303" s="5">
        <v>50698828.682581</v>
      </c>
      <c r="E303" s="5" t="s">
        <v>19</v>
      </c>
    </row>
    <row r="304" spans="1:5">
      <c r="A304" s="4">
        <v>42795</v>
      </c>
      <c r="B304" s="5">
        <v>48702911.031222403</v>
      </c>
      <c r="C304" s="5">
        <v>39448271.130910397</v>
      </c>
      <c r="D304" s="5">
        <v>58659633.957046203</v>
      </c>
      <c r="E304" s="5" t="s">
        <v>19</v>
      </c>
    </row>
    <row r="305" spans="1:5">
      <c r="A305" s="4">
        <v>42826</v>
      </c>
      <c r="B305" s="5">
        <v>34095011.406056598</v>
      </c>
      <c r="C305" s="5">
        <v>23952988.4055412</v>
      </c>
      <c r="D305" s="5">
        <v>43190216.954275697</v>
      </c>
      <c r="E305" s="5" t="s">
        <v>19</v>
      </c>
    </row>
    <row r="306" spans="1:5">
      <c r="A306" s="4">
        <v>42856</v>
      </c>
      <c r="B306" s="5">
        <v>40677339.041742504</v>
      </c>
      <c r="C306" s="5">
        <v>30683960.775212601</v>
      </c>
      <c r="D306" s="5">
        <v>50158517.2469512</v>
      </c>
      <c r="E306" s="5" t="s">
        <v>19</v>
      </c>
    </row>
    <row r="307" spans="1:5">
      <c r="A307" s="4">
        <v>42887</v>
      </c>
      <c r="B307" s="5">
        <v>48151187.495900698</v>
      </c>
      <c r="C307" s="5">
        <v>39104437.473475799</v>
      </c>
      <c r="D307" s="5">
        <v>58017021.134890698</v>
      </c>
      <c r="E307" s="5" t="s">
        <v>19</v>
      </c>
    </row>
    <row r="308" spans="1:5">
      <c r="A308" s="4">
        <v>42917</v>
      </c>
      <c r="B308" s="5">
        <v>43837374.099699199</v>
      </c>
      <c r="C308" s="5">
        <v>34027200.390565202</v>
      </c>
      <c r="D308" s="5">
        <v>53371052.6675523</v>
      </c>
      <c r="E308" s="5" t="s">
        <v>19</v>
      </c>
    </row>
    <row r="309" spans="1:5">
      <c r="A309" s="4">
        <v>42948</v>
      </c>
      <c r="B309" s="5">
        <v>44105235.3937371</v>
      </c>
      <c r="C309" s="5">
        <v>33787656.574174903</v>
      </c>
      <c r="D309" s="5">
        <v>53752748.170505099</v>
      </c>
      <c r="E309" s="5" t="s">
        <v>19</v>
      </c>
    </row>
    <row r="310" spans="1:5">
      <c r="A310" s="4">
        <v>42979</v>
      </c>
      <c r="B310" s="5">
        <v>47700659.690546602</v>
      </c>
      <c r="C310" s="5">
        <v>37722721.112875797</v>
      </c>
      <c r="D310" s="5">
        <v>57227538.463110998</v>
      </c>
      <c r="E310" s="5" t="s">
        <v>19</v>
      </c>
    </row>
    <row r="311" spans="1:5">
      <c r="A311" s="4">
        <v>43009</v>
      </c>
      <c r="B311" s="5">
        <v>40381121.985803999</v>
      </c>
      <c r="C311" s="5">
        <v>30565121.9011117</v>
      </c>
      <c r="D311" s="5">
        <v>51120262.405841</v>
      </c>
      <c r="E311" s="5" t="s">
        <v>19</v>
      </c>
    </row>
    <row r="312" spans="1:5">
      <c r="A312" s="4">
        <v>43040</v>
      </c>
      <c r="B312" s="5">
        <v>56690499.476663403</v>
      </c>
      <c r="C312" s="5">
        <v>47537459.964446299</v>
      </c>
      <c r="D312" s="5">
        <v>66245190.359203197</v>
      </c>
      <c r="E312" s="5" t="s">
        <v>19</v>
      </c>
    </row>
    <row r="313" spans="1:5">
      <c r="A313" s="4">
        <v>43070</v>
      </c>
      <c r="B313" s="5">
        <v>37957099.750902101</v>
      </c>
      <c r="C313" s="5">
        <v>28513712.907535698</v>
      </c>
      <c r="D313" s="5">
        <v>47791312.709746301</v>
      </c>
      <c r="E313" s="5" t="s">
        <v>19</v>
      </c>
    </row>
    <row r="314" spans="1:5">
      <c r="A314" s="4">
        <v>43101</v>
      </c>
      <c r="B314" s="5">
        <v>29258337.559077699</v>
      </c>
      <c r="C314" s="5">
        <v>19498204.6258545</v>
      </c>
      <c r="D314" s="5">
        <v>38448981.929064304</v>
      </c>
      <c r="E314" s="5" t="s">
        <v>19</v>
      </c>
    </row>
    <row r="315" spans="1:5">
      <c r="A315" s="4">
        <v>43132</v>
      </c>
      <c r="B315" s="5">
        <v>40718851.389790103</v>
      </c>
      <c r="C315" s="5">
        <v>30782334.209143601</v>
      </c>
      <c r="D315" s="5">
        <v>50206210.300650798</v>
      </c>
      <c r="E315" s="5" t="s">
        <v>19</v>
      </c>
    </row>
    <row r="316" spans="1:5">
      <c r="A316" s="4">
        <v>43160</v>
      </c>
      <c r="B316" s="5">
        <v>53432307.190628797</v>
      </c>
      <c r="C316" s="5">
        <v>44196189.9693285</v>
      </c>
      <c r="D316" s="5">
        <v>63001323.918473601</v>
      </c>
      <c r="E316" s="5" t="s">
        <v>19</v>
      </c>
    </row>
    <row r="317" spans="1:5">
      <c r="A317" s="4">
        <v>43191</v>
      </c>
      <c r="B317" s="5">
        <v>29053748.862193801</v>
      </c>
      <c r="C317" s="5">
        <v>19388073.908407301</v>
      </c>
      <c r="D317" s="5">
        <v>39087642.359307297</v>
      </c>
      <c r="E317" s="5" t="s">
        <v>19</v>
      </c>
    </row>
    <row r="318" spans="1:5">
      <c r="A318" s="4">
        <v>43221</v>
      </c>
      <c r="B318" s="5">
        <v>34253995.369010299</v>
      </c>
      <c r="C318" s="5">
        <v>24568579.040410701</v>
      </c>
      <c r="D318" s="5">
        <v>43701703.833212897</v>
      </c>
      <c r="E318" s="5" t="s">
        <v>19</v>
      </c>
    </row>
    <row r="319" spans="1:5">
      <c r="A319" s="4">
        <v>43252</v>
      </c>
      <c r="B319" s="5">
        <v>43395709.7530597</v>
      </c>
      <c r="C319" s="5">
        <v>33680165.154657401</v>
      </c>
      <c r="D319" s="5">
        <v>53536794.1751993</v>
      </c>
      <c r="E319" s="5" t="s">
        <v>19</v>
      </c>
    </row>
    <row r="320" spans="1:5">
      <c r="A320" s="4">
        <v>43282</v>
      </c>
      <c r="B320" s="5">
        <v>39959638.182469301</v>
      </c>
      <c r="C320" s="5">
        <v>30321932.507622398</v>
      </c>
      <c r="D320" s="5">
        <v>49780387.661669701</v>
      </c>
      <c r="E320" s="5" t="s">
        <v>19</v>
      </c>
    </row>
    <row r="321" spans="1:5">
      <c r="A321" s="4">
        <v>43313</v>
      </c>
      <c r="B321" s="5">
        <v>58736772.774750598</v>
      </c>
      <c r="C321" s="5">
        <v>48745570.734680302</v>
      </c>
      <c r="D321" s="5">
        <v>68480918.414547995</v>
      </c>
      <c r="E321" s="5" t="s">
        <v>19</v>
      </c>
    </row>
    <row r="322" spans="1:5">
      <c r="A322" s="4">
        <v>43344</v>
      </c>
      <c r="B322" s="5">
        <v>36980057.293305397</v>
      </c>
      <c r="C322" s="5">
        <v>27832498.5070327</v>
      </c>
      <c r="D322" s="5">
        <v>46932271.2764939</v>
      </c>
      <c r="E322" s="5" t="s">
        <v>19</v>
      </c>
    </row>
    <row r="323" spans="1:5">
      <c r="A323" s="4">
        <v>43374</v>
      </c>
      <c r="B323" s="5">
        <v>43295408.531405099</v>
      </c>
      <c r="C323" s="5">
        <v>33141404.303931002</v>
      </c>
      <c r="D323" s="5">
        <v>53081191.863042101</v>
      </c>
      <c r="E323" s="5" t="s">
        <v>19</v>
      </c>
    </row>
    <row r="324" spans="1:5">
      <c r="A324" s="4">
        <v>43405</v>
      </c>
      <c r="B324" s="5">
        <v>49689769.537645102</v>
      </c>
      <c r="C324" s="5">
        <v>39765748.029269896</v>
      </c>
      <c r="D324" s="5">
        <v>59105662.222603798</v>
      </c>
      <c r="E324" s="5" t="s">
        <v>19</v>
      </c>
    </row>
    <row r="325" spans="1:5">
      <c r="A325" s="4">
        <v>43435</v>
      </c>
      <c r="B325" s="5">
        <v>31854928.8618581</v>
      </c>
      <c r="C325" s="5">
        <v>21078602.755704701</v>
      </c>
      <c r="D325" s="5">
        <v>41081867.589404203</v>
      </c>
      <c r="E325" s="5" t="s">
        <v>19</v>
      </c>
    </row>
    <row r="326" spans="1:5">
      <c r="A326" s="4">
        <v>43466</v>
      </c>
      <c r="B326" s="5">
        <v>30701489.032097101</v>
      </c>
      <c r="C326" s="5">
        <v>21498198.228797302</v>
      </c>
      <c r="D326" s="5">
        <v>39429397.302682497</v>
      </c>
      <c r="E326" s="5" t="s">
        <v>19</v>
      </c>
    </row>
    <row r="327" spans="1:5">
      <c r="A327" s="4">
        <v>43497</v>
      </c>
      <c r="B327" s="5">
        <v>40612346.195330098</v>
      </c>
      <c r="C327" s="5">
        <v>30669174.857790198</v>
      </c>
      <c r="D327" s="5">
        <v>49889064.181804404</v>
      </c>
      <c r="E327" s="5" t="s">
        <v>19</v>
      </c>
    </row>
    <row r="328" spans="1:5">
      <c r="A328" s="4">
        <v>43525</v>
      </c>
      <c r="B328" s="5">
        <v>57495379.115515701</v>
      </c>
      <c r="C328" s="5">
        <v>47252295.360126898</v>
      </c>
      <c r="D328" s="5">
        <v>66443632.562780999</v>
      </c>
      <c r="E328" s="5" t="s">
        <v>19</v>
      </c>
    </row>
    <row r="329" spans="1:5">
      <c r="A329" s="4">
        <v>43556</v>
      </c>
      <c r="B329" s="5">
        <v>24123948.596452199</v>
      </c>
      <c r="C329" s="5">
        <v>14615404.6504269</v>
      </c>
      <c r="D329" s="5">
        <v>33451640.0229958</v>
      </c>
      <c r="E329" s="5" t="s">
        <v>19</v>
      </c>
    </row>
    <row r="330" spans="1:5">
      <c r="A330" s="4">
        <v>43586</v>
      </c>
      <c r="B330" s="5">
        <v>28221326.1759177</v>
      </c>
      <c r="C330" s="5">
        <v>18309512.489535201</v>
      </c>
      <c r="D330" s="5">
        <v>37450515.249280699</v>
      </c>
      <c r="E330" s="5" t="s">
        <v>19</v>
      </c>
    </row>
    <row r="331" spans="1:5">
      <c r="A331" s="4">
        <v>43617</v>
      </c>
      <c r="B331" s="5">
        <v>38981441.541912399</v>
      </c>
      <c r="C331" s="5">
        <v>29287970.418889102</v>
      </c>
      <c r="D331" s="5">
        <v>48813596.595455199</v>
      </c>
      <c r="E331" s="5" t="s">
        <v>19</v>
      </c>
    </row>
    <row r="332" spans="1:5">
      <c r="A332" s="4">
        <v>43647</v>
      </c>
      <c r="B332" s="5">
        <v>36516533.297430098</v>
      </c>
      <c r="C332" s="5">
        <v>27086618.434896301</v>
      </c>
      <c r="D332" s="5">
        <v>46095822.508497998</v>
      </c>
      <c r="E332" s="5" t="s">
        <v>19</v>
      </c>
    </row>
    <row r="333" spans="1:5">
      <c r="A333" s="4">
        <v>43678</v>
      </c>
      <c r="B333" s="5">
        <v>71967366.9782314</v>
      </c>
      <c r="C333" s="5">
        <v>62069486.136822999</v>
      </c>
      <c r="D333" s="5">
        <v>81302658.212013304</v>
      </c>
      <c r="E333" s="5" t="s">
        <v>19</v>
      </c>
    </row>
    <row r="334" spans="1:5">
      <c r="A334" s="4">
        <v>43709</v>
      </c>
      <c r="B334" s="5">
        <v>26804343.059652299</v>
      </c>
      <c r="C334" s="5">
        <v>17477040.4790041</v>
      </c>
      <c r="D334" s="5">
        <v>36477570.581558399</v>
      </c>
      <c r="E334" s="5" t="s">
        <v>19</v>
      </c>
    </row>
    <row r="335" spans="1:5">
      <c r="A335" s="4">
        <v>43739</v>
      </c>
      <c r="B335" s="5">
        <v>45801049.290973403</v>
      </c>
      <c r="C335" s="5">
        <v>35519442.540963098</v>
      </c>
      <c r="D335" s="5">
        <v>55835395.561036497</v>
      </c>
      <c r="E335" s="5" t="s">
        <v>19</v>
      </c>
    </row>
    <row r="336" spans="1:5">
      <c r="A336" s="4">
        <v>43770</v>
      </c>
      <c r="B336" s="5">
        <v>42979360.807339199</v>
      </c>
      <c r="C336" s="5">
        <v>33966933.857747301</v>
      </c>
      <c r="D336" s="5">
        <v>52769378.337403297</v>
      </c>
      <c r="E336" s="5" t="s">
        <v>19</v>
      </c>
    </row>
    <row r="337" spans="1:5">
      <c r="A337" s="4">
        <v>43800</v>
      </c>
      <c r="B337" s="5">
        <v>26257276.622648399</v>
      </c>
      <c r="C337" s="5">
        <v>16793160.8373514</v>
      </c>
      <c r="D337" s="5">
        <v>36523824.331903897</v>
      </c>
      <c r="E337" s="5" t="s">
        <v>19</v>
      </c>
    </row>
    <row r="338" spans="1:5">
      <c r="A338" s="4">
        <v>43831</v>
      </c>
      <c r="B338" s="5">
        <v>32075006.7121117</v>
      </c>
      <c r="C338" s="5">
        <v>22215566.5988889</v>
      </c>
      <c r="D338" s="5">
        <v>41430718.634805299</v>
      </c>
      <c r="E338" s="5" t="s">
        <v>19</v>
      </c>
    </row>
    <row r="339" spans="1:5">
      <c r="A339" s="4">
        <v>43862</v>
      </c>
      <c r="B339" s="5">
        <v>40452123.272892103</v>
      </c>
      <c r="C339" s="5">
        <v>30288509.770636801</v>
      </c>
      <c r="D339" s="5">
        <v>50536908.418400899</v>
      </c>
      <c r="E339" s="5" t="s">
        <v>19</v>
      </c>
    </row>
    <row r="340" spans="1:5">
      <c r="A340" s="4">
        <v>43891</v>
      </c>
      <c r="B340" s="5">
        <v>36874444.134107001</v>
      </c>
      <c r="C340" s="5">
        <v>27044397.249497999</v>
      </c>
      <c r="D340" s="5">
        <v>46381038.416811198</v>
      </c>
      <c r="E340" s="5" t="s">
        <v>19</v>
      </c>
    </row>
    <row r="341" spans="1:5">
      <c r="A341" s="4">
        <v>43922</v>
      </c>
      <c r="B341" s="5">
        <v>33383029.366509002</v>
      </c>
      <c r="C341" s="5">
        <v>23368743.608814102</v>
      </c>
      <c r="D341" s="5">
        <v>42430266.584512703</v>
      </c>
      <c r="E341" s="5" t="s">
        <v>19</v>
      </c>
    </row>
    <row r="342" spans="1:5">
      <c r="A342" s="4">
        <v>43952</v>
      </c>
      <c r="B342" s="5">
        <v>40394522.278008699</v>
      </c>
      <c r="C342" s="5">
        <v>30233733.0459456</v>
      </c>
      <c r="D342" s="5">
        <v>50161598.446867101</v>
      </c>
      <c r="E342" s="5" t="s">
        <v>19</v>
      </c>
    </row>
    <row r="343" spans="1:5">
      <c r="A343" s="4">
        <v>43983</v>
      </c>
      <c r="B343" s="5">
        <v>45280278.810211398</v>
      </c>
      <c r="C343" s="5">
        <v>35335246.127212502</v>
      </c>
      <c r="D343" s="5">
        <v>54258643.0624272</v>
      </c>
      <c r="E343" s="5" t="s">
        <v>19</v>
      </c>
    </row>
    <row r="344" spans="1:5">
      <c r="A344" s="4">
        <v>44013</v>
      </c>
      <c r="B344" s="5">
        <v>40946172.662905</v>
      </c>
      <c r="C344" s="5">
        <v>31079406.227853499</v>
      </c>
      <c r="D344" s="5">
        <v>51014364.805641502</v>
      </c>
      <c r="E344" s="5" t="s">
        <v>19</v>
      </c>
    </row>
    <row r="345" spans="1:5">
      <c r="A345" s="4">
        <v>44044</v>
      </c>
      <c r="B345" s="5">
        <v>23849958.202568199</v>
      </c>
      <c r="C345" s="5">
        <v>14600208.840526501</v>
      </c>
      <c r="D345" s="5">
        <v>33430384.5829692</v>
      </c>
      <c r="E345" s="5" t="s">
        <v>19</v>
      </c>
    </row>
    <row r="346" spans="1:5">
      <c r="A346" s="4">
        <v>44075</v>
      </c>
      <c r="B346" s="5">
        <v>50028433.556750298</v>
      </c>
      <c r="C346" s="5">
        <v>39271974.568569601</v>
      </c>
      <c r="D346" s="5">
        <v>60349202.195517197</v>
      </c>
      <c r="E346" s="5" t="s">
        <v>19</v>
      </c>
    </row>
    <row r="347" spans="1:5">
      <c r="A347" s="4">
        <v>44105</v>
      </c>
      <c r="B347" s="5">
        <v>31435435.816365998</v>
      </c>
      <c r="C347" s="5">
        <v>21569952.128148299</v>
      </c>
      <c r="D347" s="5">
        <v>41131364.054673001</v>
      </c>
      <c r="E347" s="5" t="s">
        <v>19</v>
      </c>
    </row>
    <row r="348" spans="1:5">
      <c r="A348" s="4">
        <v>44136</v>
      </c>
      <c r="B348" s="5">
        <v>54230644.956959099</v>
      </c>
      <c r="C348" s="5">
        <v>44766271.879865304</v>
      </c>
      <c r="D348" s="5">
        <v>64090184.562528297</v>
      </c>
      <c r="E348" s="5" t="s">
        <v>19</v>
      </c>
    </row>
    <row r="349" spans="1:5">
      <c r="A349" s="4">
        <v>44166</v>
      </c>
      <c r="B349" s="5">
        <v>37770568.8545601</v>
      </c>
      <c r="C349" s="5">
        <v>28214820.185751799</v>
      </c>
      <c r="D349" s="5">
        <v>47476250.1349511</v>
      </c>
      <c r="E349" s="5" t="s">
        <v>19</v>
      </c>
    </row>
    <row r="350" spans="1:5">
      <c r="A350" s="4">
        <v>44197</v>
      </c>
      <c r="B350" s="5">
        <v>23515567.1794951</v>
      </c>
      <c r="C350" s="5">
        <v>13682892.9330108</v>
      </c>
      <c r="D350" s="5">
        <v>33685299.765711799</v>
      </c>
      <c r="E350" s="5" t="s">
        <v>19</v>
      </c>
    </row>
    <row r="351" spans="1:5">
      <c r="A351" s="4">
        <v>44228</v>
      </c>
      <c r="B351" s="5">
        <v>34520832.802267797</v>
      </c>
      <c r="C351" s="5">
        <v>24994242.698001102</v>
      </c>
      <c r="D351" s="5">
        <v>43984581.0868816</v>
      </c>
      <c r="E351" s="5" t="s">
        <v>19</v>
      </c>
    </row>
    <row r="352" spans="1:5">
      <c r="A352" s="4">
        <v>44256</v>
      </c>
      <c r="B352" s="5">
        <v>41199523.2519373</v>
      </c>
      <c r="C352" s="5">
        <v>31360332.345885798</v>
      </c>
      <c r="D352" s="5">
        <v>50758588.906995103</v>
      </c>
      <c r="E352" s="5" t="s">
        <v>19</v>
      </c>
    </row>
    <row r="353" spans="1:5">
      <c r="A353" s="4">
        <v>44287</v>
      </c>
      <c r="B353" s="5">
        <v>28824954.050289199</v>
      </c>
      <c r="C353" s="5">
        <v>20005236.864661898</v>
      </c>
      <c r="D353" s="5">
        <v>38441147.964678802</v>
      </c>
      <c r="E353" s="5" t="s">
        <v>19</v>
      </c>
    </row>
    <row r="354" spans="1:5">
      <c r="A354" s="4">
        <v>44317</v>
      </c>
      <c r="B354" s="5">
        <v>34369833.466045402</v>
      </c>
      <c r="C354" s="5">
        <v>24231963.2715629</v>
      </c>
      <c r="D354" s="5">
        <v>44130126.030723102</v>
      </c>
      <c r="E354" s="5" t="s">
        <v>19</v>
      </c>
    </row>
    <row r="355" spans="1:5">
      <c r="A355" s="4">
        <v>44348</v>
      </c>
      <c r="B355" s="5">
        <v>40660126.004546002</v>
      </c>
      <c r="C355" s="5">
        <v>30686494.464045301</v>
      </c>
      <c r="D355" s="5">
        <v>50501599.412673503</v>
      </c>
      <c r="E355" s="5" t="s">
        <v>19</v>
      </c>
    </row>
    <row r="356" spans="1:5">
      <c r="A356" s="4">
        <v>44378</v>
      </c>
      <c r="B356" s="5">
        <v>36995572.443400599</v>
      </c>
      <c r="C356" s="5">
        <v>27624833.030522499</v>
      </c>
      <c r="D356" s="5">
        <v>47191773.703936704</v>
      </c>
      <c r="E356" s="5" t="s">
        <v>19</v>
      </c>
    </row>
    <row r="357" spans="1:5">
      <c r="A357" s="4">
        <v>44409</v>
      </c>
      <c r="B357" s="5">
        <v>37198756.535517797</v>
      </c>
      <c r="C357" s="5">
        <v>26924638.964988101</v>
      </c>
      <c r="D357" s="5">
        <v>46944849.6785715</v>
      </c>
      <c r="E357" s="5" t="s">
        <v>19</v>
      </c>
    </row>
    <row r="358" spans="1:5">
      <c r="A358" s="4">
        <v>44440</v>
      </c>
      <c r="B358" s="5">
        <v>40206269.228160203</v>
      </c>
      <c r="C358" s="5">
        <v>31299922.220578801</v>
      </c>
      <c r="D358" s="5">
        <v>50018442.304583602</v>
      </c>
      <c r="E358" s="5" t="s">
        <v>19</v>
      </c>
    </row>
    <row r="359" spans="1:5">
      <c r="A359" s="4">
        <v>44470</v>
      </c>
      <c r="B359" s="5">
        <v>34016191.409988098</v>
      </c>
      <c r="C359" s="5">
        <v>24474503.386599999</v>
      </c>
      <c r="D359" s="5">
        <v>43538118.999888897</v>
      </c>
      <c r="E359" s="5" t="s">
        <v>19</v>
      </c>
    </row>
    <row r="360" spans="1:5">
      <c r="A360" s="4">
        <v>44501</v>
      </c>
      <c r="B360" s="5">
        <v>47724876.134768702</v>
      </c>
      <c r="C360" s="5">
        <v>37908814.889968</v>
      </c>
      <c r="D360" s="5">
        <v>57720927.983242303</v>
      </c>
      <c r="E360" s="5" t="s">
        <v>19</v>
      </c>
    </row>
    <row r="361" spans="1:5">
      <c r="A361" s="4">
        <v>44531</v>
      </c>
      <c r="B361" s="5">
        <v>31934612.803261299</v>
      </c>
      <c r="C361" s="5">
        <v>22448293.942414802</v>
      </c>
      <c r="D361" s="5">
        <v>41692826.916085199</v>
      </c>
      <c r="E361" s="5" t="s"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3"/>
  <sheetViews>
    <sheetView zoomScaleNormal="100" workbookViewId="0"/>
  </sheetViews>
  <sheetFormatPr defaultColWidth="8.7109375" defaultRowHeight="15"/>
  <cols>
    <col min="1" max="1" width="12" customWidth="1"/>
    <col min="2" max="2" width="18" customWidth="1"/>
    <col min="3" max="3" width="10" customWidth="1"/>
    <col min="4" max="5" width="20" customWidth="1"/>
    <col min="6" max="6" width="19" customWidth="1"/>
    <col min="7" max="7" width="20" customWidth="1"/>
    <col min="8" max="8" width="11" customWidth="1"/>
  </cols>
  <sheetData>
    <row r="1" spans="1:8">
      <c r="A1" s="3" t="s">
        <v>20</v>
      </c>
      <c r="B1" s="3" t="s">
        <v>12</v>
      </c>
      <c r="C1" s="3" t="s">
        <v>24</v>
      </c>
      <c r="D1" s="3" t="s">
        <v>21</v>
      </c>
      <c r="E1" s="3" t="s">
        <v>22</v>
      </c>
      <c r="F1" s="3" t="s">
        <v>23</v>
      </c>
      <c r="G1" s="3" t="s">
        <v>25</v>
      </c>
      <c r="H1" s="3" t="s">
        <v>26</v>
      </c>
    </row>
    <row r="2" spans="1:8">
      <c r="A2" s="5" t="s">
        <v>27</v>
      </c>
      <c r="B2" s="5" t="s">
        <v>14</v>
      </c>
      <c r="C2" s="5">
        <v>29550235</v>
      </c>
      <c r="D2" s="5">
        <v>33218006.140530199</v>
      </c>
      <c r="E2" s="5">
        <v>20192089.404300101</v>
      </c>
      <c r="F2" s="5">
        <v>47334303.558763102</v>
      </c>
      <c r="G2" s="5">
        <v>0.124119863700922</v>
      </c>
      <c r="H2" s="5" t="b">
        <f>TRUE()</f>
        <v>1</v>
      </c>
    </row>
    <row r="3" spans="1:8">
      <c r="A3" s="5" t="s">
        <v>28</v>
      </c>
      <c r="B3" s="5" t="s">
        <v>14</v>
      </c>
      <c r="C3" s="5">
        <v>31207706</v>
      </c>
      <c r="D3" s="5">
        <v>71708843.492083997</v>
      </c>
      <c r="E3" s="5">
        <v>56596326.209904499</v>
      </c>
      <c r="F3" s="5">
        <v>84851430.134947494</v>
      </c>
      <c r="G3" s="5">
        <v>1.2977928429626999</v>
      </c>
      <c r="H3" s="5" t="b">
        <f>FALSE()</f>
        <v>0</v>
      </c>
    </row>
    <row r="4" spans="1:8">
      <c r="A4" s="5" t="s">
        <v>29</v>
      </c>
      <c r="B4" s="5" t="s">
        <v>14</v>
      </c>
      <c r="C4" s="5">
        <v>31734018</v>
      </c>
      <c r="D4" s="5">
        <v>61332439.945093699</v>
      </c>
      <c r="E4" s="5">
        <v>47473733.320611201</v>
      </c>
      <c r="F4" s="5">
        <v>75557719.394242302</v>
      </c>
      <c r="G4" s="5">
        <v>0.932703256962094</v>
      </c>
      <c r="H4" s="5" t="b">
        <f>FALSE()</f>
        <v>0</v>
      </c>
    </row>
    <row r="5" spans="1:8">
      <c r="A5" s="5" t="s">
        <v>30</v>
      </c>
      <c r="B5" s="5" t="s">
        <v>14</v>
      </c>
      <c r="C5" s="5">
        <v>25537359</v>
      </c>
      <c r="D5" s="5">
        <v>12466224.4328332</v>
      </c>
      <c r="E5" s="5">
        <v>-738452.89324710704</v>
      </c>
      <c r="F5" s="5">
        <v>26585127.864271201</v>
      </c>
      <c r="G5" s="5">
        <v>0.511843631409448</v>
      </c>
      <c r="H5" s="5" t="b">
        <f>TRUE()</f>
        <v>1</v>
      </c>
    </row>
    <row r="6" spans="1:8">
      <c r="A6" s="5" t="s">
        <v>31</v>
      </c>
      <c r="B6" s="5" t="s">
        <v>14</v>
      </c>
      <c r="C6" s="5">
        <v>37032714</v>
      </c>
      <c r="D6" s="5">
        <v>67991487.426899105</v>
      </c>
      <c r="E6" s="5">
        <v>53887550.825244397</v>
      </c>
      <c r="F6" s="5">
        <v>81821250.653768405</v>
      </c>
      <c r="G6" s="5">
        <v>0.83598446030445095</v>
      </c>
      <c r="H6" s="5" t="b">
        <f>FALSE()</f>
        <v>0</v>
      </c>
    </row>
    <row r="7" spans="1:8">
      <c r="A7" s="5" t="s">
        <v>32</v>
      </c>
      <c r="B7" s="5" t="s">
        <v>14</v>
      </c>
      <c r="C7" s="5">
        <v>53278985</v>
      </c>
      <c r="D7" s="5">
        <v>154124689.850555</v>
      </c>
      <c r="E7" s="5">
        <v>141071015.279915</v>
      </c>
      <c r="F7" s="5">
        <v>166977163.80998001</v>
      </c>
      <c r="G7" s="5">
        <v>1.8927857738009599</v>
      </c>
      <c r="H7" s="5" t="b">
        <f>FALSE()</f>
        <v>0</v>
      </c>
    </row>
    <row r="8" spans="1:8">
      <c r="A8" s="5" t="s">
        <v>33</v>
      </c>
      <c r="B8" s="5" t="s">
        <v>14</v>
      </c>
      <c r="C8" s="5">
        <v>49574868</v>
      </c>
      <c r="D8" s="5">
        <v>83427169.331426904</v>
      </c>
      <c r="E8" s="5">
        <v>70496693.874156907</v>
      </c>
      <c r="F8" s="5">
        <v>97730672.203436896</v>
      </c>
      <c r="G8" s="5">
        <v>0.68285207196974995</v>
      </c>
      <c r="H8" s="5" t="b">
        <f>FALSE()</f>
        <v>0</v>
      </c>
    </row>
    <row r="9" spans="1:8">
      <c r="A9" s="5" t="s">
        <v>34</v>
      </c>
      <c r="B9" s="5" t="s">
        <v>14</v>
      </c>
      <c r="C9" s="5">
        <v>32691037</v>
      </c>
      <c r="D9" s="5">
        <v>-13559187.728807099</v>
      </c>
      <c r="E9" s="5">
        <v>-26993482.968213599</v>
      </c>
      <c r="F9" s="5">
        <v>53491.964625805304</v>
      </c>
      <c r="G9" s="5">
        <v>1.4147677459362</v>
      </c>
      <c r="H9" s="5" t="b">
        <f>FALSE()</f>
        <v>0</v>
      </c>
    </row>
    <row r="10" spans="1:8">
      <c r="A10" s="5" t="s">
        <v>35</v>
      </c>
      <c r="B10" s="5" t="s">
        <v>14</v>
      </c>
      <c r="C10" s="5">
        <v>43865488</v>
      </c>
      <c r="D10" s="5">
        <v>71158599.646473005</v>
      </c>
      <c r="E10" s="5">
        <v>58159550.617361598</v>
      </c>
      <c r="F10" s="5">
        <v>83447480.059086204</v>
      </c>
      <c r="G10" s="5">
        <v>0.62220011427829103</v>
      </c>
      <c r="H10" s="5" t="b">
        <f>FALSE()</f>
        <v>0</v>
      </c>
    </row>
    <row r="11" spans="1:8">
      <c r="A11" s="5" t="s">
        <v>36</v>
      </c>
      <c r="B11" s="5" t="s">
        <v>14</v>
      </c>
      <c r="C11" s="5">
        <v>25354506</v>
      </c>
      <c r="D11" s="5">
        <v>89329293.290616393</v>
      </c>
      <c r="E11" s="5">
        <v>74983034.467564002</v>
      </c>
      <c r="F11" s="5">
        <v>103373724.112749</v>
      </c>
      <c r="G11" s="5">
        <v>2.5232117435305801</v>
      </c>
      <c r="H11" s="5" t="b">
        <f>FALSE()</f>
        <v>0</v>
      </c>
    </row>
    <row r="12" spans="1:8">
      <c r="A12" s="5" t="s">
        <v>37</v>
      </c>
      <c r="B12" s="5" t="s">
        <v>14</v>
      </c>
      <c r="C12" s="5">
        <v>60087138</v>
      </c>
      <c r="D12" s="5">
        <v>46653624.193360299</v>
      </c>
      <c r="E12" s="5">
        <v>32338230.945941199</v>
      </c>
      <c r="F12" s="5">
        <v>59824071.526835501</v>
      </c>
      <c r="G12" s="5">
        <v>0.22356721011807401</v>
      </c>
      <c r="H12" s="5" t="b">
        <f>FALSE()</f>
        <v>0</v>
      </c>
    </row>
    <row r="13" spans="1:8">
      <c r="A13" s="5" t="s">
        <v>38</v>
      </c>
      <c r="B13" s="5" t="s">
        <v>14</v>
      </c>
      <c r="C13" s="5">
        <v>71164320</v>
      </c>
      <c r="D13" s="5">
        <v>95139539.374087393</v>
      </c>
      <c r="E13" s="5">
        <v>81579091.377373695</v>
      </c>
      <c r="F13" s="5">
        <v>108955606.303712</v>
      </c>
      <c r="G13" s="5">
        <v>0.336899437444036</v>
      </c>
      <c r="H13" s="5" t="b">
        <f>FALSE()</f>
        <v>0</v>
      </c>
    </row>
    <row r="14" spans="1:8">
      <c r="A14" s="5" t="s">
        <v>27</v>
      </c>
      <c r="B14" s="5" t="s">
        <v>15</v>
      </c>
      <c r="C14" s="5">
        <v>24020027</v>
      </c>
      <c r="D14" s="5">
        <v>11127585.8458784</v>
      </c>
      <c r="E14" s="5">
        <v>1314488.9595457199</v>
      </c>
      <c r="F14" s="5">
        <v>20684116.7315109</v>
      </c>
      <c r="G14" s="5">
        <v>0.53673716328968302</v>
      </c>
      <c r="H14" s="5" t="b">
        <f>FALSE()</f>
        <v>0</v>
      </c>
    </row>
    <row r="15" spans="1:8">
      <c r="A15" s="5" t="s">
        <v>28</v>
      </c>
      <c r="B15" s="5" t="s">
        <v>15</v>
      </c>
      <c r="C15" s="5">
        <v>35714611</v>
      </c>
      <c r="D15" s="5">
        <v>45009026.147666</v>
      </c>
      <c r="E15" s="5">
        <v>35208057.011423998</v>
      </c>
      <c r="F15" s="5">
        <v>54273544.666379899</v>
      </c>
      <c r="G15" s="5">
        <v>0.26024125385730701</v>
      </c>
      <c r="H15" s="5" t="b">
        <f>TRUE()</f>
        <v>1</v>
      </c>
    </row>
    <row r="16" spans="1:8">
      <c r="A16" s="5" t="s">
        <v>29</v>
      </c>
      <c r="B16" s="5" t="s">
        <v>15</v>
      </c>
      <c r="C16" s="5">
        <v>34743102</v>
      </c>
      <c r="D16" s="5">
        <v>24965311.920224302</v>
      </c>
      <c r="E16" s="5">
        <v>15641463.5571751</v>
      </c>
      <c r="F16" s="5">
        <v>34691909.737396598</v>
      </c>
      <c r="G16" s="5">
        <v>0.28143111918376501</v>
      </c>
      <c r="H16" s="5" t="b">
        <f>FALSE()</f>
        <v>0</v>
      </c>
    </row>
    <row r="17" spans="1:8">
      <c r="A17" s="5" t="s">
        <v>30</v>
      </c>
      <c r="B17" s="5" t="s">
        <v>15</v>
      </c>
      <c r="C17" s="5">
        <v>22965215</v>
      </c>
      <c r="D17" s="5">
        <v>62477503.4238469</v>
      </c>
      <c r="E17" s="5">
        <v>52955430.644747101</v>
      </c>
      <c r="F17" s="5">
        <v>71852079.056354702</v>
      </c>
      <c r="G17" s="5">
        <v>1.7205276947699799</v>
      </c>
      <c r="H17" s="5" t="b">
        <f>FALSE()</f>
        <v>0</v>
      </c>
    </row>
    <row r="18" spans="1:8">
      <c r="A18" s="5" t="s">
        <v>31</v>
      </c>
      <c r="B18" s="5" t="s">
        <v>15</v>
      </c>
      <c r="C18" s="5">
        <v>34557041</v>
      </c>
      <c r="D18" s="5">
        <v>37611271.328077599</v>
      </c>
      <c r="E18" s="5">
        <v>28767698.098527301</v>
      </c>
      <c r="F18" s="5">
        <v>47080212.408525199</v>
      </c>
      <c r="G18" s="5">
        <v>8.8382287363017203E-2</v>
      </c>
      <c r="H18" s="5" t="b">
        <f>TRUE()</f>
        <v>1</v>
      </c>
    </row>
    <row r="19" spans="1:8">
      <c r="A19" s="5" t="s">
        <v>32</v>
      </c>
      <c r="B19" s="5" t="s">
        <v>15</v>
      </c>
      <c r="C19" s="5">
        <v>36123935</v>
      </c>
      <c r="D19" s="5">
        <v>44551770.708344102</v>
      </c>
      <c r="E19" s="5">
        <v>35136576.927978396</v>
      </c>
      <c r="F19" s="5">
        <v>54406557.436887197</v>
      </c>
      <c r="G19" s="5">
        <v>0.23330336820570899</v>
      </c>
      <c r="H19" s="5" t="b">
        <f>TRUE()</f>
        <v>1</v>
      </c>
    </row>
    <row r="20" spans="1:8">
      <c r="A20" s="5" t="s">
        <v>33</v>
      </c>
      <c r="B20" s="5" t="s">
        <v>15</v>
      </c>
      <c r="C20" s="5">
        <v>31261836</v>
      </c>
      <c r="D20" s="5">
        <v>48324745.585134998</v>
      </c>
      <c r="E20" s="5">
        <v>38574233.987201497</v>
      </c>
      <c r="F20" s="5">
        <v>57600927.691425897</v>
      </c>
      <c r="G20" s="5">
        <v>0.54580638146572702</v>
      </c>
      <c r="H20" s="5" t="b">
        <f>FALSE()</f>
        <v>0</v>
      </c>
    </row>
    <row r="21" spans="1:8">
      <c r="A21" s="5" t="s">
        <v>34</v>
      </c>
      <c r="B21" s="5" t="s">
        <v>15</v>
      </c>
      <c r="C21" s="5">
        <v>32702850</v>
      </c>
      <c r="D21" s="5">
        <v>8299364.0229237201</v>
      </c>
      <c r="E21" s="5">
        <v>-1005247.2721746101</v>
      </c>
      <c r="F21" s="5">
        <v>17833929.645539299</v>
      </c>
      <c r="G21" s="5">
        <v>0.74621893740381295</v>
      </c>
      <c r="H21" s="5" t="b">
        <f>FALSE()</f>
        <v>0</v>
      </c>
    </row>
    <row r="22" spans="1:8">
      <c r="A22" s="5" t="s">
        <v>35</v>
      </c>
      <c r="B22" s="5" t="s">
        <v>15</v>
      </c>
      <c r="C22" s="5">
        <v>34985330</v>
      </c>
      <c r="D22" s="5">
        <v>54121016.051972203</v>
      </c>
      <c r="E22" s="5">
        <v>44107466.9139226</v>
      </c>
      <c r="F22" s="5">
        <v>63448955.494514398</v>
      </c>
      <c r="G22" s="5">
        <v>0.54696314289367098</v>
      </c>
      <c r="H22" s="5" t="b">
        <f>FALSE()</f>
        <v>0</v>
      </c>
    </row>
    <row r="23" spans="1:8">
      <c r="A23" s="5" t="s">
        <v>36</v>
      </c>
      <c r="B23" s="5" t="s">
        <v>15</v>
      </c>
      <c r="C23" s="5">
        <v>27270187</v>
      </c>
      <c r="D23" s="5">
        <v>44712783.845122397</v>
      </c>
      <c r="E23" s="5">
        <v>35053545.900312603</v>
      </c>
      <c r="F23" s="5">
        <v>54059885.169761501</v>
      </c>
      <c r="G23" s="5">
        <v>0.63962146079608395</v>
      </c>
      <c r="H23" s="5" t="b">
        <f>FALSE()</f>
        <v>0</v>
      </c>
    </row>
    <row r="24" spans="1:8">
      <c r="A24" s="5" t="s">
        <v>37</v>
      </c>
      <c r="B24" s="5" t="s">
        <v>15</v>
      </c>
      <c r="C24" s="5">
        <v>50638246</v>
      </c>
      <c r="D24" s="5">
        <v>26831820.419884499</v>
      </c>
      <c r="E24" s="5">
        <v>17249249.7145794</v>
      </c>
      <c r="F24" s="5">
        <v>36288908.791626699</v>
      </c>
      <c r="G24" s="5">
        <v>0.47012737329242099</v>
      </c>
      <c r="H24" s="5" t="b">
        <f>FALSE()</f>
        <v>0</v>
      </c>
    </row>
    <row r="25" spans="1:8">
      <c r="A25" s="5" t="s">
        <v>38</v>
      </c>
      <c r="B25" s="5" t="s">
        <v>15</v>
      </c>
      <c r="C25" s="5">
        <v>44564882</v>
      </c>
      <c r="D25" s="5">
        <v>38139232.103686601</v>
      </c>
      <c r="E25" s="5">
        <v>29164229.4664074</v>
      </c>
      <c r="F25" s="5">
        <v>47909356.188917696</v>
      </c>
      <c r="G25" s="5">
        <v>0.14418639987228901</v>
      </c>
      <c r="H25" s="5" t="b">
        <f>TRUE()</f>
        <v>1</v>
      </c>
    </row>
    <row r="26" spans="1:8">
      <c r="A26" s="5" t="s">
        <v>27</v>
      </c>
      <c r="B26" s="5" t="s">
        <v>16</v>
      </c>
      <c r="C26" s="5">
        <v>19626430</v>
      </c>
      <c r="D26" s="5">
        <v>-4772014.6247175597</v>
      </c>
      <c r="E26" s="5">
        <v>-15448191.245714501</v>
      </c>
      <c r="F26" s="5">
        <v>5064655.6627488201</v>
      </c>
      <c r="G26" s="5">
        <v>1.24314226401427</v>
      </c>
      <c r="H26" s="5" t="b">
        <f>FALSE()</f>
        <v>0</v>
      </c>
    </row>
    <row r="27" spans="1:8">
      <c r="A27" s="5" t="s">
        <v>28</v>
      </c>
      <c r="B27" s="5" t="s">
        <v>16</v>
      </c>
      <c r="C27" s="5">
        <v>24546665</v>
      </c>
      <c r="D27" s="5">
        <v>75589135.599582493</v>
      </c>
      <c r="E27" s="5">
        <v>65173568.780723199</v>
      </c>
      <c r="F27" s="5">
        <v>85593140.006366998</v>
      </c>
      <c r="G27" s="5">
        <v>2.0794055159665299</v>
      </c>
      <c r="H27" s="5" t="b">
        <f>FALSE()</f>
        <v>0</v>
      </c>
    </row>
    <row r="28" spans="1:8">
      <c r="A28" s="5" t="s">
        <v>29</v>
      </c>
      <c r="B28" s="5" t="s">
        <v>16</v>
      </c>
      <c r="C28" s="5">
        <v>26577751</v>
      </c>
      <c r="D28" s="5">
        <v>56991108.0216823</v>
      </c>
      <c r="E28" s="5">
        <v>47330764.457415998</v>
      </c>
      <c r="F28" s="5">
        <v>66465501.983271196</v>
      </c>
      <c r="G28" s="5">
        <v>1.1443164254824401</v>
      </c>
      <c r="H28" s="5" t="b">
        <f>FALSE()</f>
        <v>0</v>
      </c>
    </row>
    <row r="29" spans="1:8">
      <c r="A29" s="5" t="s">
        <v>30</v>
      </c>
      <c r="B29" s="5" t="s">
        <v>16</v>
      </c>
      <c r="C29" s="5">
        <v>16313370</v>
      </c>
      <c r="D29" s="5">
        <v>30687694.577013802</v>
      </c>
      <c r="E29" s="5">
        <v>21137328.2952029</v>
      </c>
      <c r="F29" s="5">
        <v>40995074.240876801</v>
      </c>
      <c r="G29" s="5">
        <v>0.88113765439108005</v>
      </c>
      <c r="H29" s="5" t="b">
        <f>FALSE()</f>
        <v>0</v>
      </c>
    </row>
    <row r="30" spans="1:8">
      <c r="A30" s="5" t="s">
        <v>31</v>
      </c>
      <c r="B30" s="5" t="s">
        <v>16</v>
      </c>
      <c r="C30" s="5">
        <v>28445709</v>
      </c>
      <c r="D30" s="5">
        <v>26043724.338979401</v>
      </c>
      <c r="E30" s="5">
        <v>15663177.1546127</v>
      </c>
      <c r="F30" s="5">
        <v>35998444.233308896</v>
      </c>
      <c r="G30" s="5">
        <v>8.4441019241975696E-2</v>
      </c>
      <c r="H30" s="5" t="b">
        <f>TRUE()</f>
        <v>1</v>
      </c>
    </row>
    <row r="31" spans="1:8">
      <c r="A31" s="5" t="s">
        <v>32</v>
      </c>
      <c r="B31" s="5" t="s">
        <v>16</v>
      </c>
      <c r="C31" s="5">
        <v>34264313</v>
      </c>
      <c r="D31" s="5">
        <v>57052843.917406403</v>
      </c>
      <c r="E31" s="5">
        <v>47540306.5658006</v>
      </c>
      <c r="F31" s="5">
        <v>67120764.923044801</v>
      </c>
      <c r="G31" s="5">
        <v>0.66508063119217997</v>
      </c>
      <c r="H31" s="5" t="b">
        <f>FALSE()</f>
        <v>0</v>
      </c>
    </row>
    <row r="32" spans="1:8">
      <c r="A32" s="5" t="s">
        <v>33</v>
      </c>
      <c r="B32" s="5" t="s">
        <v>16</v>
      </c>
      <c r="C32" s="5">
        <v>46031739</v>
      </c>
      <c r="D32" s="5">
        <v>57281288.874344401</v>
      </c>
      <c r="E32" s="5">
        <v>47566610.688993901</v>
      </c>
      <c r="F32" s="5">
        <v>67142581.631112903</v>
      </c>
      <c r="G32" s="5">
        <v>0.244386810464502</v>
      </c>
      <c r="H32" s="5" t="b">
        <f>FALSE()</f>
        <v>0</v>
      </c>
    </row>
    <row r="33" spans="1:8">
      <c r="A33" s="5" t="s">
        <v>34</v>
      </c>
      <c r="B33" s="5" t="s">
        <v>16</v>
      </c>
      <c r="C33" s="5">
        <v>26493012</v>
      </c>
      <c r="D33" s="5">
        <v>31404154.835682001</v>
      </c>
      <c r="E33" s="5">
        <v>21333596.2889021</v>
      </c>
      <c r="F33" s="5">
        <v>42008204.089391902</v>
      </c>
      <c r="G33" s="5">
        <v>0.18537502778778001</v>
      </c>
      <c r="H33" s="5" t="b">
        <f>TRUE()</f>
        <v>1</v>
      </c>
    </row>
    <row r="34" spans="1:8">
      <c r="A34" s="5" t="s">
        <v>35</v>
      </c>
      <c r="B34" s="5" t="s">
        <v>16</v>
      </c>
      <c r="C34" s="5">
        <v>19328987</v>
      </c>
      <c r="D34" s="5">
        <v>12214455.929617001</v>
      </c>
      <c r="E34" s="5">
        <v>1426627.2476157299</v>
      </c>
      <c r="F34" s="5">
        <v>21908324.554878298</v>
      </c>
      <c r="G34" s="5">
        <v>0.36807573363172102</v>
      </c>
      <c r="H34" s="5" t="b">
        <f>TRUE()</f>
        <v>1</v>
      </c>
    </row>
    <row r="35" spans="1:8">
      <c r="A35" s="5" t="s">
        <v>36</v>
      </c>
      <c r="B35" s="5" t="s">
        <v>16</v>
      </c>
      <c r="C35" s="5">
        <v>59169164</v>
      </c>
      <c r="D35" s="5">
        <v>45061649.747766703</v>
      </c>
      <c r="E35" s="5">
        <v>35083551.216999203</v>
      </c>
      <c r="F35" s="5">
        <v>54938539.859565698</v>
      </c>
      <c r="G35" s="5">
        <v>0.23842679697541999</v>
      </c>
      <c r="H35" s="5" t="b">
        <f>FALSE()</f>
        <v>0</v>
      </c>
    </row>
    <row r="36" spans="1:8">
      <c r="A36" s="5" t="s">
        <v>37</v>
      </c>
      <c r="B36" s="5" t="s">
        <v>16</v>
      </c>
      <c r="C36" s="5">
        <v>37170308</v>
      </c>
      <c r="D36" s="5">
        <v>62508208.7370895</v>
      </c>
      <c r="E36" s="5">
        <v>52531246.497953199</v>
      </c>
      <c r="F36" s="5">
        <v>72145634.618801802</v>
      </c>
      <c r="G36" s="5">
        <v>0.68167045419934302</v>
      </c>
      <c r="H36" s="5" t="b">
        <f>FALSE()</f>
        <v>0</v>
      </c>
    </row>
    <row r="37" spans="1:8">
      <c r="A37" s="5" t="s">
        <v>38</v>
      </c>
      <c r="B37" s="5" t="s">
        <v>16</v>
      </c>
      <c r="C37" s="5">
        <v>27819683</v>
      </c>
      <c r="D37" s="5">
        <v>8623444.6743930802</v>
      </c>
      <c r="E37" s="5">
        <v>-1495379.4232314101</v>
      </c>
      <c r="F37" s="5">
        <v>19158439.0206993</v>
      </c>
      <c r="G37" s="5">
        <v>0.69002361837145798</v>
      </c>
      <c r="H37" s="5" t="b">
        <f>FALSE()</f>
        <v>0</v>
      </c>
    </row>
    <row r="38" spans="1:8">
      <c r="A38" s="5" t="s">
        <v>27</v>
      </c>
      <c r="B38" s="5" t="s">
        <v>17</v>
      </c>
      <c r="C38" s="5">
        <v>26222961</v>
      </c>
      <c r="D38" s="5">
        <v>13977271.5844422</v>
      </c>
      <c r="E38" s="5">
        <v>5788545.4558592001</v>
      </c>
      <c r="F38" s="5">
        <v>22861428.940977599</v>
      </c>
      <c r="G38" s="5">
        <v>0.466983473588579</v>
      </c>
      <c r="H38" s="5" t="b">
        <f>FALSE()</f>
        <v>0</v>
      </c>
    </row>
    <row r="39" spans="1:8">
      <c r="A39" s="5" t="s">
        <v>28</v>
      </c>
      <c r="B39" s="5" t="s">
        <v>17</v>
      </c>
      <c r="C39" s="5">
        <v>27369146</v>
      </c>
      <c r="D39" s="5">
        <v>42109738.543784201</v>
      </c>
      <c r="E39" s="5">
        <v>33478931.517110098</v>
      </c>
      <c r="F39" s="5">
        <v>50970907.226541698</v>
      </c>
      <c r="G39" s="5">
        <v>0.53858430744548003</v>
      </c>
      <c r="H39" s="5" t="b">
        <f>FALSE()</f>
        <v>0</v>
      </c>
    </row>
    <row r="40" spans="1:8">
      <c r="A40" s="5" t="s">
        <v>29</v>
      </c>
      <c r="B40" s="5" t="s">
        <v>17</v>
      </c>
      <c r="C40" s="5">
        <v>32053797</v>
      </c>
      <c r="D40" s="5">
        <v>41260136.0079019</v>
      </c>
      <c r="E40" s="5">
        <v>31797756.015469801</v>
      </c>
      <c r="F40" s="5">
        <v>49831547.209089004</v>
      </c>
      <c r="G40" s="5">
        <v>0.28721524030060702</v>
      </c>
      <c r="H40" s="5" t="b">
        <f>TRUE()</f>
        <v>1</v>
      </c>
    </row>
    <row r="41" spans="1:8">
      <c r="A41" s="5" t="s">
        <v>30</v>
      </c>
      <c r="B41" s="5" t="s">
        <v>17</v>
      </c>
      <c r="C41" s="5">
        <v>22180137</v>
      </c>
      <c r="D41" s="5">
        <v>26166639.894945599</v>
      </c>
      <c r="E41" s="5">
        <v>17924680.022348601</v>
      </c>
      <c r="F41" s="5">
        <v>34990286.059519701</v>
      </c>
      <c r="G41" s="5">
        <v>0.17973301494691399</v>
      </c>
      <c r="H41" s="5" t="b">
        <f>TRUE()</f>
        <v>1</v>
      </c>
    </row>
    <row r="42" spans="1:8">
      <c r="A42" s="5" t="s">
        <v>31</v>
      </c>
      <c r="B42" s="5" t="s">
        <v>17</v>
      </c>
      <c r="C42" s="5">
        <v>21841244</v>
      </c>
      <c r="D42" s="5">
        <v>50554984.961167596</v>
      </c>
      <c r="E42" s="5">
        <v>41761852.171793602</v>
      </c>
      <c r="F42" s="5">
        <v>59605367.494020499</v>
      </c>
      <c r="G42" s="5">
        <v>1.31465684652246</v>
      </c>
      <c r="H42" s="5" t="b">
        <f>FALSE()</f>
        <v>0</v>
      </c>
    </row>
    <row r="43" spans="1:8">
      <c r="A43" s="5" t="s">
        <v>32</v>
      </c>
      <c r="B43" s="5" t="s">
        <v>17</v>
      </c>
      <c r="C43" s="5">
        <v>30747303</v>
      </c>
      <c r="D43" s="5">
        <v>47707458.955424599</v>
      </c>
      <c r="E43" s="5">
        <v>38762498.3407517</v>
      </c>
      <c r="F43" s="5">
        <v>56149391.614752099</v>
      </c>
      <c r="G43" s="5">
        <v>0.55159816636355297</v>
      </c>
      <c r="H43" s="5" t="b">
        <f>FALSE()</f>
        <v>0</v>
      </c>
    </row>
    <row r="44" spans="1:8">
      <c r="A44" s="5" t="s">
        <v>33</v>
      </c>
      <c r="B44" s="5" t="s">
        <v>17</v>
      </c>
      <c r="C44" s="5">
        <v>60115750</v>
      </c>
      <c r="D44" s="5">
        <v>52761283.347315297</v>
      </c>
      <c r="E44" s="5">
        <v>43855672.266792297</v>
      </c>
      <c r="F44" s="5">
        <v>61343825.625270702</v>
      </c>
      <c r="G44" s="5">
        <v>0.12233843298444699</v>
      </c>
      <c r="H44" s="5" t="b">
        <f>TRUE()</f>
        <v>1</v>
      </c>
    </row>
    <row r="45" spans="1:8">
      <c r="A45" s="5" t="s">
        <v>34</v>
      </c>
      <c r="B45" s="5" t="s">
        <v>17</v>
      </c>
      <c r="C45" s="5">
        <v>37295095</v>
      </c>
      <c r="D45" s="5">
        <v>20016162.474675201</v>
      </c>
      <c r="E45" s="5">
        <v>11470367.620774301</v>
      </c>
      <c r="F45" s="5">
        <v>29088744.265812699</v>
      </c>
      <c r="G45" s="5">
        <v>0.46330308383246599</v>
      </c>
      <c r="H45" s="5" t="b">
        <f>FALSE()</f>
        <v>0</v>
      </c>
    </row>
    <row r="46" spans="1:8">
      <c r="A46" s="5" t="s">
        <v>35</v>
      </c>
      <c r="B46" s="5" t="s">
        <v>17</v>
      </c>
      <c r="C46" s="5">
        <v>30939171</v>
      </c>
      <c r="D46" s="5">
        <v>39045897.302023403</v>
      </c>
      <c r="E46" s="5">
        <v>29534984.871588901</v>
      </c>
      <c r="F46" s="5">
        <v>47787283.740150101</v>
      </c>
      <c r="G46" s="5">
        <v>0.26202144530709498</v>
      </c>
      <c r="H46" s="5" t="b">
        <f>TRUE()</f>
        <v>1</v>
      </c>
    </row>
    <row r="47" spans="1:8">
      <c r="A47" s="5" t="s">
        <v>36</v>
      </c>
      <c r="B47" s="5" t="s">
        <v>17</v>
      </c>
      <c r="C47" s="5">
        <v>31585315</v>
      </c>
      <c r="D47" s="5">
        <v>55387087.616420999</v>
      </c>
      <c r="E47" s="5">
        <v>46587688.925014898</v>
      </c>
      <c r="F47" s="5">
        <v>64384058.7130531</v>
      </c>
      <c r="G47" s="5">
        <v>0.75357084823820797</v>
      </c>
      <c r="H47" s="5" t="b">
        <f>FALSE()</f>
        <v>0</v>
      </c>
    </row>
    <row r="48" spans="1:8">
      <c r="A48" s="5" t="s">
        <v>37</v>
      </c>
      <c r="B48" s="5" t="s">
        <v>17</v>
      </c>
      <c r="C48" s="5">
        <v>47501922</v>
      </c>
      <c r="D48" s="5">
        <v>35727697.234595902</v>
      </c>
      <c r="E48" s="5">
        <v>27390829.588299699</v>
      </c>
      <c r="F48" s="5">
        <v>44310722.774066798</v>
      </c>
      <c r="G48" s="5">
        <v>0.24786838657610699</v>
      </c>
      <c r="H48" s="5" t="b">
        <f>FALSE()</f>
        <v>0</v>
      </c>
    </row>
    <row r="49" spans="1:8">
      <c r="A49" s="5" t="s">
        <v>38</v>
      </c>
      <c r="B49" s="5" t="s">
        <v>17</v>
      </c>
      <c r="C49" s="5">
        <v>48088273</v>
      </c>
      <c r="D49" s="5">
        <v>38252712.377467498</v>
      </c>
      <c r="E49" s="5">
        <v>29209426.917344999</v>
      </c>
      <c r="F49" s="5">
        <v>46911829.450162798</v>
      </c>
      <c r="G49" s="5">
        <v>0.20453137550879599</v>
      </c>
      <c r="H49" s="5" t="b">
        <f>FALSE()</f>
        <v>0</v>
      </c>
    </row>
    <row r="50" spans="1:8">
      <c r="A50" s="5" t="s">
        <v>27</v>
      </c>
      <c r="B50" s="5" t="s">
        <v>18</v>
      </c>
      <c r="C50" s="5">
        <v>36796429</v>
      </c>
      <c r="D50" s="5">
        <v>20900342.010953698</v>
      </c>
      <c r="E50" s="5">
        <v>14272850.295039801</v>
      </c>
      <c r="F50" s="5">
        <v>28122171.8943469</v>
      </c>
      <c r="G50" s="5">
        <v>0.43200080608491498</v>
      </c>
      <c r="H50" s="5" t="b">
        <f>FALSE()</f>
        <v>0</v>
      </c>
    </row>
    <row r="51" spans="1:8">
      <c r="A51" s="5" t="s">
        <v>28</v>
      </c>
      <c r="B51" s="5" t="s">
        <v>18</v>
      </c>
      <c r="C51" s="5">
        <v>44079009</v>
      </c>
      <c r="D51" s="5">
        <v>53980535.255184896</v>
      </c>
      <c r="E51" s="5">
        <v>47223332.1515176</v>
      </c>
      <c r="F51" s="5">
        <v>60764118.934499301</v>
      </c>
      <c r="G51" s="5">
        <v>0.224631326334603</v>
      </c>
      <c r="H51" s="5" t="b">
        <f>FALSE()</f>
        <v>0</v>
      </c>
    </row>
    <row r="52" spans="1:8">
      <c r="A52" s="5" t="s">
        <v>29</v>
      </c>
      <c r="B52" s="5" t="s">
        <v>18</v>
      </c>
      <c r="C52" s="5">
        <v>46817882</v>
      </c>
      <c r="D52" s="5">
        <v>44744091.426246896</v>
      </c>
      <c r="E52" s="5">
        <v>38154003.818638101</v>
      </c>
      <c r="F52" s="5">
        <v>51793637.978674203</v>
      </c>
      <c r="G52" s="5">
        <v>4.4294839603233403E-2</v>
      </c>
      <c r="H52" s="5" t="b">
        <f>TRUE()</f>
        <v>1</v>
      </c>
    </row>
    <row r="53" spans="1:8">
      <c r="A53" s="5" t="s">
        <v>30</v>
      </c>
      <c r="B53" s="5" t="s">
        <v>18</v>
      </c>
      <c r="C53" s="5">
        <v>20182211</v>
      </c>
      <c r="D53" s="5">
        <v>41786790.472866103</v>
      </c>
      <c r="E53" s="5">
        <v>34828488.9996562</v>
      </c>
      <c r="F53" s="5">
        <v>48716783.060511</v>
      </c>
      <c r="G53" s="5">
        <v>1.07047634537495</v>
      </c>
      <c r="H53" s="5" t="b">
        <f>FALSE()</f>
        <v>0</v>
      </c>
    </row>
    <row r="54" spans="1:8">
      <c r="A54" s="5" t="s">
        <v>31</v>
      </c>
      <c r="B54" s="5" t="s">
        <v>18</v>
      </c>
      <c r="C54" s="5">
        <v>43135061</v>
      </c>
      <c r="D54" s="5">
        <v>42674976.4234685</v>
      </c>
      <c r="E54" s="5">
        <v>36122804.292902999</v>
      </c>
      <c r="F54" s="5">
        <v>49699576.808357798</v>
      </c>
      <c r="G54" s="5">
        <v>1.0666139466721399E-2</v>
      </c>
      <c r="H54" s="5" t="b">
        <f>TRUE()</f>
        <v>1</v>
      </c>
    </row>
    <row r="55" spans="1:8">
      <c r="A55" s="5" t="s">
        <v>32</v>
      </c>
      <c r="B55" s="5" t="s">
        <v>18</v>
      </c>
      <c r="C55" s="5">
        <v>42369129</v>
      </c>
      <c r="D55" s="5">
        <v>39150190.298593096</v>
      </c>
      <c r="E55" s="5">
        <v>32322783.886616599</v>
      </c>
      <c r="F55" s="5">
        <v>45554536.668301798</v>
      </c>
      <c r="G55" s="5">
        <v>7.5973681248129796E-2</v>
      </c>
      <c r="H55" s="5" t="b">
        <f>TRUE()</f>
        <v>1</v>
      </c>
    </row>
    <row r="56" spans="1:8">
      <c r="A56" s="5" t="s">
        <v>33</v>
      </c>
      <c r="B56" s="5" t="s">
        <v>18</v>
      </c>
      <c r="C56" s="5">
        <v>49925245</v>
      </c>
      <c r="D56" s="5">
        <v>75718955.469534501</v>
      </c>
      <c r="E56" s="5">
        <v>68144601.113803297</v>
      </c>
      <c r="F56" s="5">
        <v>82860817.508169398</v>
      </c>
      <c r="G56" s="5">
        <v>0.51664664779380598</v>
      </c>
      <c r="H56" s="5" t="b">
        <f>FALSE()</f>
        <v>0</v>
      </c>
    </row>
    <row r="57" spans="1:8">
      <c r="A57" s="5" t="s">
        <v>34</v>
      </c>
      <c r="B57" s="5" t="s">
        <v>18</v>
      </c>
      <c r="C57" s="5">
        <v>36257047</v>
      </c>
      <c r="D57" s="5">
        <v>26998188.3085168</v>
      </c>
      <c r="E57" s="5">
        <v>19782524.574928701</v>
      </c>
      <c r="F57" s="5">
        <v>33623170.5256529</v>
      </c>
      <c r="G57" s="5">
        <v>0.25536714811559802</v>
      </c>
      <c r="H57" s="5" t="b">
        <f>FALSE()</f>
        <v>0</v>
      </c>
    </row>
    <row r="58" spans="1:8">
      <c r="A58" s="5" t="s">
        <v>35</v>
      </c>
      <c r="B58" s="5" t="s">
        <v>18</v>
      </c>
      <c r="C58" s="5">
        <v>62348015</v>
      </c>
      <c r="D58" s="5">
        <v>39292008.549058601</v>
      </c>
      <c r="E58" s="5">
        <v>32625915.9628371</v>
      </c>
      <c r="F58" s="5">
        <v>46368684.299902298</v>
      </c>
      <c r="G58" s="5">
        <v>0.369795356771846</v>
      </c>
      <c r="H58" s="5" t="b">
        <f>FALSE()</f>
        <v>0</v>
      </c>
    </row>
    <row r="59" spans="1:8">
      <c r="A59" s="5" t="s">
        <v>36</v>
      </c>
      <c r="B59" s="5" t="s">
        <v>18</v>
      </c>
      <c r="C59" s="5">
        <v>27374725</v>
      </c>
      <c r="D59" s="5">
        <v>48564957.176689103</v>
      </c>
      <c r="E59" s="5">
        <v>41256332.599276297</v>
      </c>
      <c r="F59" s="5">
        <v>55283804.898344502</v>
      </c>
      <c r="G59" s="5">
        <v>0.77408018442885296</v>
      </c>
      <c r="H59" s="5" t="b">
        <f>FALSE()</f>
        <v>0</v>
      </c>
    </row>
    <row r="60" spans="1:8">
      <c r="A60" s="5" t="s">
        <v>37</v>
      </c>
      <c r="B60" s="5" t="s">
        <v>18</v>
      </c>
      <c r="C60" s="5">
        <v>43027347</v>
      </c>
      <c r="D60" s="5">
        <v>62165346.223716103</v>
      </c>
      <c r="E60" s="5">
        <v>55053567.929571196</v>
      </c>
      <c r="F60" s="5">
        <v>68928152.351473093</v>
      </c>
      <c r="G60" s="5">
        <v>0.44478687527994998</v>
      </c>
      <c r="H60" s="5" t="b">
        <f>FALSE()</f>
        <v>0</v>
      </c>
    </row>
    <row r="61" spans="1:8">
      <c r="A61" s="5" t="s">
        <v>38</v>
      </c>
      <c r="B61" s="5" t="s">
        <v>18</v>
      </c>
      <c r="C61" s="5">
        <v>61225261</v>
      </c>
      <c r="D61" s="5">
        <v>36638346.474150397</v>
      </c>
      <c r="E61" s="5">
        <v>29876650.978695501</v>
      </c>
      <c r="F61" s="5">
        <v>43511295.709977701</v>
      </c>
      <c r="G61" s="5">
        <v>0.40158121213806902</v>
      </c>
      <c r="H61" s="5" t="b">
        <f>FALSE()</f>
        <v>0</v>
      </c>
    </row>
    <row r="62" spans="1:8">
      <c r="A62" s="5" t="s">
        <v>27</v>
      </c>
      <c r="B62" s="5" t="s">
        <v>19</v>
      </c>
      <c r="C62" s="5">
        <v>34508551</v>
      </c>
      <c r="D62" s="5">
        <v>15975679.144985501</v>
      </c>
      <c r="E62" s="5">
        <v>9164943.7678220607</v>
      </c>
      <c r="F62" s="5">
        <v>23563649.4927909</v>
      </c>
      <c r="G62" s="5">
        <v>0.53705158049129498</v>
      </c>
      <c r="H62" s="5" t="b">
        <f>FALSE()</f>
        <v>0</v>
      </c>
    </row>
    <row r="63" spans="1:8">
      <c r="A63" s="5" t="s">
        <v>28</v>
      </c>
      <c r="B63" s="5" t="s">
        <v>19</v>
      </c>
      <c r="C63" s="5">
        <v>36388904</v>
      </c>
      <c r="D63" s="5">
        <v>43755854.093099304</v>
      </c>
      <c r="E63" s="5">
        <v>35950697.964020498</v>
      </c>
      <c r="F63" s="5">
        <v>51085406.261568397</v>
      </c>
      <c r="G63" s="5">
        <v>0.20245045283856999</v>
      </c>
      <c r="H63" s="5" t="b">
        <f>TRUE()</f>
        <v>1</v>
      </c>
    </row>
    <row r="64" spans="1:8">
      <c r="A64" s="5" t="s">
        <v>29</v>
      </c>
      <c r="B64" s="5" t="s">
        <v>19</v>
      </c>
      <c r="C64" s="5">
        <v>36103099</v>
      </c>
      <c r="D64" s="5">
        <v>36230354.901005603</v>
      </c>
      <c r="E64" s="5">
        <v>28734201.6787613</v>
      </c>
      <c r="F64" s="5">
        <v>44223335.030913003</v>
      </c>
      <c r="G64" s="5">
        <v>3.5247916253838001E-3</v>
      </c>
      <c r="H64" s="5" t="b">
        <f>TRUE()</f>
        <v>1</v>
      </c>
    </row>
    <row r="65" spans="1:8">
      <c r="A65" s="5" t="s">
        <v>30</v>
      </c>
      <c r="B65" s="5" t="s">
        <v>19</v>
      </c>
      <c r="C65" s="5">
        <v>28231616</v>
      </c>
      <c r="D65" s="5">
        <v>33914138.985407501</v>
      </c>
      <c r="E65" s="5">
        <v>26025090.286384899</v>
      </c>
      <c r="F65" s="5">
        <v>40811239.482543401</v>
      </c>
      <c r="G65" s="5">
        <v>0.201282242766674</v>
      </c>
      <c r="H65" s="5" t="b">
        <f>TRUE()</f>
        <v>1</v>
      </c>
    </row>
    <row r="66" spans="1:8">
      <c r="A66" s="5" t="s">
        <v>31</v>
      </c>
      <c r="B66" s="5" t="s">
        <v>19</v>
      </c>
      <c r="C66" s="5">
        <v>34099290</v>
      </c>
      <c r="D66" s="5">
        <v>39532888.854500301</v>
      </c>
      <c r="E66" s="5">
        <v>31821749.258817699</v>
      </c>
      <c r="F66" s="5">
        <v>47203406.905616201</v>
      </c>
      <c r="G66" s="5">
        <v>0.1593463926815</v>
      </c>
      <c r="H66" s="5" t="b">
        <f>TRUE()</f>
        <v>1</v>
      </c>
    </row>
    <row r="67" spans="1:8">
      <c r="A67" s="5" t="s">
        <v>32</v>
      </c>
      <c r="B67" s="5" t="s">
        <v>19</v>
      </c>
      <c r="C67" s="5">
        <v>31582013</v>
      </c>
      <c r="D67" s="5">
        <v>58142725.394726597</v>
      </c>
      <c r="E67" s="5">
        <v>50833747.308337197</v>
      </c>
      <c r="F67" s="5">
        <v>65481886.5125902</v>
      </c>
      <c r="G67" s="5">
        <v>0.84100758221860605</v>
      </c>
      <c r="H67" s="5" t="b">
        <f>FALSE()</f>
        <v>0</v>
      </c>
    </row>
    <row r="68" spans="1:8">
      <c r="A68" s="5" t="s">
        <v>33</v>
      </c>
      <c r="B68" s="5" t="s">
        <v>19</v>
      </c>
      <c r="C68" s="5">
        <v>36427017</v>
      </c>
      <c r="D68" s="5">
        <v>39734070.476197399</v>
      </c>
      <c r="E68" s="5">
        <v>31639273.4103183</v>
      </c>
      <c r="F68" s="5">
        <v>46950525.064029597</v>
      </c>
      <c r="G68" s="5">
        <v>9.0785734011582395E-2</v>
      </c>
      <c r="H68" s="5" t="b">
        <f>TRUE()</f>
        <v>1</v>
      </c>
    </row>
    <row r="69" spans="1:8">
      <c r="A69" s="5" t="s">
        <v>34</v>
      </c>
      <c r="B69" s="5" t="s">
        <v>19</v>
      </c>
      <c r="C69" s="5">
        <v>28928590</v>
      </c>
      <c r="D69" s="5">
        <v>10126053.666290499</v>
      </c>
      <c r="E69" s="5">
        <v>2177926.8079522001</v>
      </c>
      <c r="F69" s="5">
        <v>17796999.3140749</v>
      </c>
      <c r="G69" s="5">
        <v>0.64996380168233303</v>
      </c>
      <c r="H69" s="5" t="b">
        <f>FALSE()</f>
        <v>0</v>
      </c>
    </row>
    <row r="70" spans="1:8">
      <c r="A70" s="5" t="s">
        <v>35</v>
      </c>
      <c r="B70" s="5" t="s">
        <v>19</v>
      </c>
      <c r="C70" s="5">
        <v>43643444</v>
      </c>
      <c r="D70" s="5">
        <v>64885765.800137296</v>
      </c>
      <c r="E70" s="5">
        <v>57369632.4411401</v>
      </c>
      <c r="F70" s="5">
        <v>72145733.722966</v>
      </c>
      <c r="G70" s="5">
        <v>0.48672423285699601</v>
      </c>
      <c r="H70" s="5" t="b">
        <f>FALSE()</f>
        <v>0</v>
      </c>
    </row>
    <row r="71" spans="1:8">
      <c r="A71" s="5" t="s">
        <v>36</v>
      </c>
      <c r="B71" s="5" t="s">
        <v>19</v>
      </c>
      <c r="C71" s="5">
        <v>34089995</v>
      </c>
      <c r="D71" s="5">
        <v>35361944.4442707</v>
      </c>
      <c r="E71" s="5">
        <v>27820876.003796399</v>
      </c>
      <c r="F71" s="5">
        <v>43186157.942643702</v>
      </c>
      <c r="G71" s="5">
        <v>3.7311517478095198E-2</v>
      </c>
      <c r="H71" s="5" t="b">
        <f>TRUE()</f>
        <v>1</v>
      </c>
    </row>
    <row r="72" spans="1:8">
      <c r="A72" s="5" t="s">
        <v>37</v>
      </c>
      <c r="B72" s="5" t="s">
        <v>19</v>
      </c>
      <c r="C72" s="5">
        <v>66357912</v>
      </c>
      <c r="D72" s="5">
        <v>45143518.069669098</v>
      </c>
      <c r="E72" s="5">
        <v>37895145.383942202</v>
      </c>
      <c r="F72" s="5">
        <v>53037529.995357998</v>
      </c>
      <c r="G72" s="5">
        <v>0.31969652586915098</v>
      </c>
      <c r="H72" s="5" t="b">
        <f>FALSE()</f>
        <v>0</v>
      </c>
    </row>
    <row r="73" spans="1:8">
      <c r="A73" s="5" t="s">
        <v>38</v>
      </c>
      <c r="B73" s="5" t="s">
        <v>19</v>
      </c>
      <c r="C73" s="5">
        <v>53421742</v>
      </c>
      <c r="D73" s="5">
        <v>22474106.742252398</v>
      </c>
      <c r="E73" s="5">
        <v>14971736.6828028</v>
      </c>
      <c r="F73" s="5">
        <v>30716636.4370456</v>
      </c>
      <c r="G73" s="5">
        <v>0.57930786416039404</v>
      </c>
      <c r="H73" s="5" t="b">
        <f>FALSE()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zoomScaleNormal="100" workbookViewId="0"/>
  </sheetViews>
  <sheetFormatPr defaultColWidth="8.7109375" defaultRowHeight="15"/>
  <cols>
    <col min="1" max="1" width="18" customWidth="1"/>
    <col min="2" max="2" width="14" customWidth="1"/>
    <col min="3" max="3" width="17" customWidth="1"/>
    <col min="4" max="4" width="23" customWidth="1"/>
    <col min="5" max="5" width="21" customWidth="1"/>
  </cols>
  <sheetData>
    <row r="1" spans="1:5">
      <c r="A1" s="3" t="s">
        <v>12</v>
      </c>
      <c r="B1" s="3" t="s">
        <v>39</v>
      </c>
      <c r="C1" s="3" t="s">
        <v>40</v>
      </c>
      <c r="D1" s="3" t="s">
        <v>41</v>
      </c>
      <c r="E1" s="3" t="s">
        <v>42</v>
      </c>
    </row>
    <row r="2" spans="1:5">
      <c r="A2" s="5" t="s">
        <v>14</v>
      </c>
      <c r="B2" s="5">
        <v>95</v>
      </c>
      <c r="C2" s="5">
        <v>17</v>
      </c>
      <c r="D2" s="5">
        <v>77.2</v>
      </c>
      <c r="E2" s="5">
        <v>42.6</v>
      </c>
    </row>
    <row r="3" spans="1:5">
      <c r="A3" s="5" t="s">
        <v>15</v>
      </c>
      <c r="B3" s="5">
        <v>51.8</v>
      </c>
      <c r="C3" s="5">
        <v>33</v>
      </c>
      <c r="D3" s="5">
        <v>28.7</v>
      </c>
      <c r="E3" s="5">
        <v>16.7</v>
      </c>
    </row>
    <row r="4" spans="1:5">
      <c r="A4" s="5" t="s">
        <v>16</v>
      </c>
      <c r="B4" s="5">
        <v>70.900000000000006</v>
      </c>
      <c r="C4" s="5">
        <v>25</v>
      </c>
      <c r="D4" s="5">
        <v>56.8</v>
      </c>
      <c r="E4" s="5">
        <v>28.3</v>
      </c>
    </row>
    <row r="5" spans="1:5">
      <c r="A5" s="5" t="s">
        <v>17</v>
      </c>
      <c r="B5" s="5">
        <v>44.9</v>
      </c>
      <c r="C5" s="5">
        <v>33</v>
      </c>
      <c r="D5" s="5">
        <v>46.9</v>
      </c>
      <c r="E5" s="5">
        <v>32.200000000000003</v>
      </c>
    </row>
    <row r="6" spans="1:5">
      <c r="A6" s="5" t="s">
        <v>18</v>
      </c>
      <c r="B6" s="5">
        <v>38.5</v>
      </c>
      <c r="C6" s="5">
        <v>25</v>
      </c>
      <c r="D6" s="5">
        <v>33.799999999999997</v>
      </c>
      <c r="E6" s="5">
        <v>25.5</v>
      </c>
    </row>
    <row r="7" spans="1:5">
      <c r="A7" s="5" t="s">
        <v>19</v>
      </c>
      <c r="B7" s="5">
        <v>34.200000000000003</v>
      </c>
      <c r="C7" s="5">
        <v>50</v>
      </c>
      <c r="D7" s="5">
        <v>38.5</v>
      </c>
      <c r="E7" s="5">
        <v>23.4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abSelected="1" topLeftCell="A25" zoomScaleNormal="100" workbookViewId="0">
      <selection activeCell="Q40" sqref="Q40"/>
    </sheetView>
  </sheetViews>
  <sheetFormatPr defaultColWidth="8.7109375" defaultRowHeight="15"/>
  <sheetData/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Guillaume Pien</cp:lastModifiedBy>
  <cp:revision>0</cp:revision>
  <dcterms:created xsi:type="dcterms:W3CDTF">2026-07-28T03:19:49Z</dcterms:created>
  <dcterms:modified xsi:type="dcterms:W3CDTF">2026-07-28T03:23:18Z</dcterms:modified>
  <cp:category/>
  <cp:contentStatus/>
</cp:coreProperties>
</file>